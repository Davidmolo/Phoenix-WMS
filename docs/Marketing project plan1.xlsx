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 Plan Data" sheetId="1" r:id="rId4"/>
    <sheet state="visible" name="List Data" sheetId="2" r:id="rId5"/>
  </sheets>
  <definedNames>
    <definedName name="ColumnTitle1">Data[[#Headers],[TASK]]</definedName>
    <definedName name="ColumnTitle2">People[[#Headers],[NAME]]</definedName>
    <definedName name="Names">People[NAME]</definedName>
    <definedName name="txtCustom3">'Marketing Plan Data'!$L$3</definedName>
    <definedName name="txtCustom1">'Marketing Plan Data'!$J$3</definedName>
    <definedName name="txtCustom2">'Marketing Plan Data'!$K$3</definedName>
    <definedName name="clCustom3">'Marketing Plan Data'!$L$4</definedName>
    <definedName name="clCustom4">'Marketing Plan Data'!$M$4</definedName>
    <definedName name="clCustom2">'Marketing Plan Data'!$K$4</definedName>
    <definedName name="clNotStarted">'Marketing Plan Data'!$F$4</definedName>
    <definedName name="clComplete">'Marketing Plan Data'!$I$4</definedName>
    <definedName name="ColumnTitleRegion1..K4.1">'Marketing Plan Data'!$F$3</definedName>
    <definedName name="txtCustom4">'Marketing Plan Data'!$M$3</definedName>
    <definedName name="clDelayed">'Marketing Plan Data'!$H$4</definedName>
    <definedName name="clInProgress">'Marketing Plan Data'!$G$4</definedName>
    <definedName name="clCustom1">'Marketing Plan Data'!$J$4</definedName>
    <definedName hidden="1" localSheetId="0" name="_xlnm._FilterDatabase">'Marketing Plan Data'!$L$33:$L$34</definedName>
    <definedName hidden="1" localSheetId="1" name="Z_B5CEB546_EE30_4BC1_B7AC_6AA7592BE2DA_.wvu.FilterData">'List Data'!$B$3:$C$11</definedName>
  </definedNames>
  <calcPr/>
  <customWorkbookViews>
    <customWorkbookView activeSheetId="0" maximized="1" windowHeight="0" windowWidth="0" guid="{B5CEB546-EE30-4BC1-B7AC-6AA7592BE2DA}" name="People filter view"/>
  </customWorkbookViews>
  <extLst>
    <ext uri="GoogleSheetsCustomDataVersion2">
      <go:sheetsCustomData xmlns:go="http://customooxmlschemas.google.com/" r:id="rId6" roundtripDataChecksum="sud6I8K/O4z8U0GqNbKe3W0Hz+Fd5QKEUVrLiToADrQ="/>
    </ext>
  </extLst>
</workbook>
</file>

<file path=xl/sharedStrings.xml><?xml version="1.0" encoding="utf-8"?>
<sst xmlns="http://schemas.openxmlformats.org/spreadsheetml/2006/main" count="170" uniqueCount="67">
  <si>
    <t>Marketing Plan Data</t>
  </si>
  <si>
    <t>STATUS COLOR LEGEND &amp; TOGGLE</t>
  </si>
  <si>
    <t>Marketing Plan Lists</t>
  </si>
  <si>
    <t>Not Started</t>
  </si>
  <si>
    <t>In Progress</t>
  </si>
  <si>
    <t>Delayed</t>
  </si>
  <si>
    <t>Complete</t>
  </si>
  <si>
    <t>Quote Needed</t>
  </si>
  <si>
    <t>Waiting on Quote</t>
  </si>
  <si>
    <t>Custom 3</t>
  </si>
  <si>
    <t>Custom 4</t>
  </si>
  <si>
    <t>ON</t>
  </si>
  <si>
    <t>OFF</t>
  </si>
  <si>
    <t>NAME</t>
  </si>
  <si>
    <t>TASK</t>
  </si>
  <si>
    <t>CATEGORY</t>
  </si>
  <si>
    <t>STATUS</t>
  </si>
  <si>
    <t>% COMP</t>
  </si>
  <si>
    <t>OWNER</t>
  </si>
  <si>
    <t>ASSIGNED TO</t>
  </si>
  <si>
    <t>ANTICIPATED
START DATE</t>
  </si>
  <si>
    <t>ANTICIPATED
END DATE</t>
  </si>
  <si>
    <t xml:space="preserve">ACTUAL 
START DATE </t>
  </si>
  <si>
    <t xml:space="preserve">ACTUAL 
END DATE </t>
  </si>
  <si>
    <t>ESTIMATED COST</t>
  </si>
  <si>
    <t>ACTUAL 
COST</t>
  </si>
  <si>
    <t>Website Development</t>
  </si>
  <si>
    <t>IT</t>
  </si>
  <si>
    <t>TITLE</t>
  </si>
  <si>
    <t>Darya Loboda</t>
  </si>
  <si>
    <t>Website Changes for Information</t>
  </si>
  <si>
    <t>Cesar Ramirez</t>
  </si>
  <si>
    <t>GHL Account creation</t>
  </si>
  <si>
    <t>GM</t>
  </si>
  <si>
    <t>Marketing</t>
  </si>
  <si>
    <t>Done</t>
  </si>
  <si>
    <t>Warehouse</t>
  </si>
  <si>
    <t>Marketing Manager</t>
  </si>
  <si>
    <t>David Molo</t>
  </si>
  <si>
    <t>Owner</t>
  </si>
  <si>
    <t>GHL Phone System setup</t>
  </si>
  <si>
    <t>Vendor Service</t>
  </si>
  <si>
    <t>Maaz</t>
  </si>
  <si>
    <t>Office</t>
  </si>
  <si>
    <t>GBP Creation</t>
  </si>
  <si>
    <t>9/22/0216</t>
  </si>
  <si>
    <t>Free</t>
  </si>
  <si>
    <t>Google Emails</t>
  </si>
  <si>
    <t>Sign Design</t>
  </si>
  <si>
    <t>Compose FB Postings to trucker groups</t>
  </si>
  <si>
    <t>Quick Books to WMS Integration</t>
  </si>
  <si>
    <t>Trucker flyer for cross-dock volume (post on trucking sites)</t>
  </si>
  <si>
    <t>Paid ads for local businesses needing cross-dock</t>
  </si>
  <si>
    <t>Website to WMS Integration</t>
  </si>
  <si>
    <t>All Platforms Integrated</t>
  </si>
  <si>
    <t>Cameras and Alarm</t>
  </si>
  <si>
    <t>Insurance COI</t>
  </si>
  <si>
    <t>Company Signs</t>
  </si>
  <si>
    <t>Purchase Tablet</t>
  </si>
  <si>
    <t>Purchase Zebra Printer and Labels</t>
  </si>
  <si>
    <t>Internet or Hot Spot</t>
  </si>
  <si>
    <t>Purchase Office Furniture</t>
  </si>
  <si>
    <t>Floor Markings</t>
  </si>
  <si>
    <t>Warehouse Needs (Eyewash,etc)</t>
  </si>
  <si>
    <t>Tier A trucking listings — OLIMP, CrossdockBuddy, DockLinx, XDocks (+ GBP)</t>
  </si>
  <si>
    <t>Publish / lock rate sheet (cross-dock ~$25/pallet; hybrid storage ~$20/pallet/mo; CT parking labeled)</t>
  </si>
  <si>
    <t>Bank / ACH payee open for Phoenix Arizona Cross Dock LLC (needed for SBA invoices)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</si>
</sst>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;;;"/>
    <numFmt numFmtId="165" formatCode="&quot;$&quot;#,##0_);\(&quot;$&quot;#,##0\)"/>
  </numFmts>
  <fonts count="19">
    <font>
      <sz val="11.0"/>
      <color theme="1"/>
      <name val="Euphemia"/>
      <scheme val="minor"/>
    </font>
    <font>
      <sz val="26.0"/>
      <color theme="1"/>
      <name val="Georgia"/>
    </font>
    <font>
      <sz val="11.0"/>
      <color rgb="FF595959"/>
      <name val="Georgia"/>
    </font>
    <font>
      <sz val="11.0"/>
      <color theme="1"/>
      <name val="Euphemia"/>
    </font>
    <font>
      <sz val="11.0"/>
      <color theme="0"/>
      <name val="Euphemia"/>
    </font>
    <font>
      <sz val="11.0"/>
      <color rgb="FF1F414F"/>
      <name val="Euphemia"/>
    </font>
    <font>
      <sz val="11.0"/>
      <color rgb="FF6E561B"/>
      <name val="Euphemia"/>
    </font>
    <font>
      <sz val="11.0"/>
      <color rgb="FF4E1E24"/>
      <name val="Euphemia"/>
    </font>
    <font>
      <sz val="11.0"/>
      <color rgb="FF384428"/>
      <name val="Euphemia"/>
    </font>
    <font>
      <sz val="11.0"/>
      <color rgb="FF752D36"/>
      <name val="Euphemia"/>
    </font>
    <font>
      <sz val="11.0"/>
      <color rgb="FF54663C"/>
      <name val="Euphemia"/>
    </font>
    <font>
      <sz val="11.0"/>
      <color rgb="FF2F6276"/>
      <name val="Euphemia"/>
    </font>
    <font>
      <sz val="11.0"/>
      <color theme="1"/>
      <name val="Arial"/>
    </font>
    <font>
      <sz val="9.0"/>
      <color theme="1"/>
      <name val="Euphemia"/>
    </font>
    <font>
      <sz val="12.0"/>
      <color theme="1"/>
      <name val="Euphemia"/>
    </font>
    <font>
      <sz val="12.0"/>
      <color theme="1"/>
      <name val="Arial"/>
    </font>
    <font>
      <b/>
      <sz val="11.0"/>
      <color theme="1"/>
      <name val="Euphemia"/>
    </font>
    <font>
      <color theme="1"/>
      <name val="Euphemia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CCFDE"/>
        <bgColor rgb="FFACCFDE"/>
      </patternFill>
    </fill>
    <fill>
      <patternFill patternType="solid">
        <fgColor rgb="FFECDCB3"/>
        <bgColor rgb="FFECDCB3"/>
      </patternFill>
    </fill>
    <fill>
      <patternFill patternType="solid">
        <fgColor rgb="FFDEAAB1"/>
        <bgColor rgb="FFDEAAB1"/>
      </patternFill>
    </fill>
    <fill>
      <patternFill patternType="solid">
        <fgColor rgb="FFC6D3B5"/>
        <bgColor rgb="FFC6D3B5"/>
      </patternFill>
    </fill>
    <fill>
      <patternFill patternType="solid">
        <fgColor rgb="FFF5EDD9"/>
        <bgColor rgb="FFF5EDD9"/>
      </patternFill>
    </fill>
    <fill>
      <patternFill patternType="solid">
        <fgColor rgb="FFEED4D8"/>
        <bgColor rgb="FFEED4D8"/>
      </patternFill>
    </fill>
    <fill>
      <patternFill patternType="solid">
        <fgColor rgb="FFE2E9DA"/>
        <bgColor rgb="FFE2E9DA"/>
      </patternFill>
    </fill>
    <fill>
      <patternFill patternType="solid">
        <fgColor rgb="FFD5E7EE"/>
        <bgColor rgb="FFD5E7EE"/>
      </patternFill>
    </fill>
  </fills>
  <borders count="7">
    <border/>
    <border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/>
      <right style="thin">
        <color theme="0"/>
      </right>
      <top style="thick">
        <color theme="0"/>
      </top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1" fillId="0" fontId="2" numFmtId="0" xfId="0" applyAlignment="1" applyBorder="1" applyFon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5" fillId="2" fontId="5" numFmtId="0" xfId="0" applyAlignment="1" applyBorder="1" applyFill="1" applyFont="1">
      <alignment horizontal="center" shrinkToFit="0" vertical="bottom" wrapText="0"/>
    </xf>
    <xf borderId="5" fillId="3" fontId="6" numFmtId="0" xfId="0" applyAlignment="1" applyBorder="1" applyFill="1" applyFont="1">
      <alignment horizontal="center" shrinkToFit="0" vertical="bottom" wrapText="0"/>
    </xf>
    <xf borderId="5" fillId="4" fontId="7" numFmtId="0" xfId="0" applyAlignment="1" applyBorder="1" applyFill="1" applyFont="1">
      <alignment horizontal="center" shrinkToFit="0" vertical="bottom" wrapText="0"/>
    </xf>
    <xf borderId="5" fillId="5" fontId="8" numFmtId="0" xfId="0" applyAlignment="1" applyBorder="1" applyFill="1" applyFont="1">
      <alignment horizontal="center" shrinkToFit="0" vertical="bottom" wrapText="0"/>
    </xf>
    <xf borderId="5" fillId="6" fontId="6" numFmtId="0" xfId="0" applyAlignment="1" applyBorder="1" applyFill="1" applyFont="1">
      <alignment horizontal="center" shrinkToFit="0" vertical="bottom" wrapText="0"/>
    </xf>
    <xf borderId="5" fillId="7" fontId="9" numFmtId="0" xfId="0" applyAlignment="1" applyBorder="1" applyFill="1" applyFont="1">
      <alignment horizontal="center" shrinkToFit="0" vertical="bottom" wrapText="0"/>
    </xf>
    <xf borderId="5" fillId="8" fontId="10" numFmtId="0" xfId="0" applyAlignment="1" applyBorder="1" applyFill="1" applyFont="1">
      <alignment horizontal="center" shrinkToFit="0" vertical="bottom" wrapText="0"/>
    </xf>
    <xf borderId="5" fillId="9" fontId="11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horizontal="left" readingOrder="0" shrinkToFit="0" vertical="center" wrapText="0"/>
    </xf>
    <xf borderId="6" fillId="2" fontId="12" numFmtId="0" xfId="0" applyAlignment="1" applyBorder="1" applyFill="1" applyFont="1">
      <alignment horizontal="center" readingOrder="0" shrinkToFit="0" vertical="bottom" wrapText="0"/>
    </xf>
    <xf borderId="6" fillId="3" fontId="3" numFmtId="0" xfId="0" applyAlignment="1" applyBorder="1" applyFill="1" applyFont="1">
      <alignment horizontal="center" shrinkToFit="0" vertical="bottom" wrapText="0"/>
    </xf>
    <xf borderId="6" fillId="4" fontId="3" numFmtId="0" xfId="0" applyAlignment="1" applyBorder="1" applyFill="1" applyFont="1">
      <alignment horizontal="center" shrinkToFit="0" vertical="bottom" wrapText="0"/>
    </xf>
    <xf borderId="6" fillId="5" fontId="3" numFmtId="0" xfId="0" applyAlignment="1" applyBorder="1" applyFill="1" applyFont="1">
      <alignment horizontal="center" shrinkToFit="0" vertical="bottom" wrapText="0"/>
    </xf>
    <xf borderId="6" fillId="6" fontId="3" numFmtId="0" xfId="0" applyAlignment="1" applyBorder="1" applyFill="1" applyFont="1">
      <alignment horizontal="center" shrinkToFit="0" vertical="bottom" wrapText="0"/>
    </xf>
    <xf borderId="6" fillId="7" fontId="3" numFmtId="0" xfId="0" applyAlignment="1" applyBorder="1" applyFill="1" applyFont="1">
      <alignment horizontal="center" shrinkToFit="0" vertical="bottom" wrapText="0"/>
    </xf>
    <xf borderId="6" fillId="8" fontId="3" numFmtId="0" xfId="0" applyAlignment="1" applyBorder="1" applyFill="1" applyFont="1">
      <alignment horizontal="center" shrinkToFit="0" vertical="bottom" wrapText="0"/>
    </xf>
    <xf borderId="0" fillId="0" fontId="13" numFmtId="0" xfId="0" applyAlignment="1" applyFont="1">
      <alignment horizontal="left" shrinkToFit="0" vertical="center" wrapText="1"/>
    </xf>
    <xf borderId="6" fillId="9" fontId="3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left" shrinkToFit="0" vertical="center" wrapText="1"/>
    </xf>
    <xf borderId="0" fillId="0" fontId="15" numFmtId="9" xfId="0" applyAlignment="1" applyFont="1" applyNumberForma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0"/>
    </xf>
    <xf borderId="0" fillId="0" fontId="15" numFmtId="14" xfId="0" applyAlignment="1" applyFont="1" applyNumberFormat="1">
      <alignment horizontal="right" readingOrder="0" shrinkToFit="0" vertical="center" wrapText="1"/>
    </xf>
    <xf borderId="0" fillId="0" fontId="14" numFmtId="14" xfId="0" applyAlignment="1" applyFont="1" applyNumberFormat="1">
      <alignment horizontal="right" shrinkToFit="0" vertical="center" wrapText="1"/>
    </xf>
    <xf borderId="0" fillId="0" fontId="15" numFmtId="165" xfId="0" applyAlignment="1" applyFont="1" applyNumberFormat="1">
      <alignment horizontal="right" readingOrder="0" shrinkToFit="0" vertical="center" wrapText="0"/>
    </xf>
    <xf borderId="0" fillId="0" fontId="14" numFmtId="165" xfId="0" applyAlignment="1" applyFont="1" applyNumberFormat="1">
      <alignment horizontal="right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4" numFmtId="9" xfId="0" applyAlignment="1" applyFont="1" applyNumberFormat="1">
      <alignment horizontal="lef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165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ACCFDE"/>
          <bgColor rgb="FFACCFDE"/>
        </patternFill>
      </fill>
      <border/>
    </dxf>
    <dxf>
      <font/>
      <fill>
        <patternFill patternType="solid">
          <fgColor rgb="FFECDCCD"/>
          <bgColor rgb="FFECDCCD"/>
        </patternFill>
      </fill>
      <border/>
    </dxf>
    <dxf>
      <font/>
      <fill>
        <patternFill patternType="solid">
          <fgColor rgb="FFDEAACD"/>
          <bgColor rgb="FFDEAACD"/>
        </patternFill>
      </fill>
      <border/>
    </dxf>
    <dxf>
      <font/>
      <fill>
        <patternFill patternType="solid">
          <fgColor rgb="FFC6D3CD"/>
          <bgColor rgb="FFC6D3CD"/>
        </patternFill>
      </fill>
      <border/>
    </dxf>
    <dxf>
      <font/>
      <fill>
        <patternFill patternType="solid">
          <fgColor rgb="FFF5EDCD"/>
          <bgColor rgb="FFF5EDCD"/>
        </patternFill>
      </fill>
      <border/>
    </dxf>
    <dxf>
      <font/>
      <fill>
        <patternFill patternType="solid">
          <fgColor rgb="FFEED4CD"/>
          <bgColor rgb="FFEED4CD"/>
        </patternFill>
      </fill>
      <border/>
    </dxf>
    <dxf>
      <font/>
      <fill>
        <patternFill patternType="solid">
          <fgColor rgb="FFE2E9CD"/>
          <bgColor rgb="FFE2E9CD"/>
        </patternFill>
      </fill>
      <border/>
    </dxf>
    <dxf>
      <font/>
      <fill>
        <patternFill patternType="solid">
          <fgColor rgb="FFD5E7CD"/>
          <bgColor rgb="FFD5E7CD"/>
        </patternFill>
      </fill>
      <border/>
    </dxf>
  </dxfs>
  <tableStyles count="1">
    <tableStyle count="4" pivot="0" name="List Data-style">
      <tableStyleElement dxfId="1" type="headerRow"/>
      <tableStyleElement dxfId="1" type="firstRowStripe"/>
      <tableStyleElement dxfId="1" type="secondRowStripe"/>
      <tableStyleElement dxfId="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Marketing%20Plan%20Data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85725</xdr:rowOff>
    </xdr:from>
    <xdr:ext cx="2286000" cy="266700"/>
    <xdr:grpSp>
      <xdr:nvGrpSpPr>
        <xdr:cNvPr id="2" name="Shape 2"/>
        <xdr:cNvGrpSpPr/>
      </xdr:nvGrpSpPr>
      <xdr:grpSpPr>
        <a:xfrm>
          <a:off x="4203000" y="3646650"/>
          <a:ext cx="2286000" cy="266700"/>
          <a:chOff x="4203000" y="3646650"/>
          <a:chExt cx="2286000" cy="266700"/>
        </a:xfrm>
      </xdr:grpSpPr>
      <xdr:grpSp>
        <xdr:nvGrpSpPr>
          <xdr:cNvPr descr="Navigation link to List Data worksheet" id="3" name="Shape 3"/>
          <xdr:cNvGrpSpPr/>
        </xdr:nvGrpSpPr>
        <xdr:grpSpPr>
          <a:xfrm>
            <a:off x="4203000" y="3646650"/>
            <a:ext cx="2286000" cy="266700"/>
            <a:chOff x="200026" y="847725"/>
            <a:chExt cx="2009774" cy="274320"/>
          </a:xfrm>
        </xdr:grpSpPr>
        <xdr:sp>
          <xdr:nvSpPr>
            <xdr:cNvPr id="4" name="Shape 4"/>
            <xdr:cNvSpPr/>
          </xdr:nvSpPr>
          <xdr:spPr>
            <a:xfrm>
              <a:off x="200026" y="847725"/>
              <a:ext cx="2009750" cy="27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descr="Navigation link to List Data worksheet" id="5" name="Shape 5"/>
            <xdr:cNvSpPr/>
          </xdr:nvSpPr>
          <xdr:spPr>
            <a:xfrm>
              <a:off x="200026" y="847725"/>
              <a:ext cx="2009774" cy="274320"/>
            </a:xfrm>
            <a:prstGeom prst="rect">
              <a:avLst/>
            </a:prstGeom>
            <a:solidFill>
              <a:srgbClr val="601A27"/>
            </a:solidFill>
            <a:ln>
              <a:noFill/>
            </a:ln>
          </xdr:spPr>
          <xdr:txBody>
            <a:bodyPr anchorCtr="0" anchor="ctr" bIns="0" lIns="91425" spcFirstLastPara="1" rIns="91425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MARKETING PLAN LISTS</a:t>
              </a:r>
              <a:endParaRPr sz="1400"/>
            </a:p>
          </xdr:txBody>
        </xdr:sp>
        <xdr:sp>
          <xdr:nvSpPr>
            <xdr:cNvPr descr="Arrow" id="6" name="Shape 6"/>
            <xdr:cNvSpPr/>
          </xdr:nvSpPr>
          <xdr:spPr>
            <a:xfrm>
              <a:off x="2052617" y="927265"/>
              <a:ext cx="73521" cy="116657"/>
            </a:xfrm>
            <a:custGeom>
              <a:rect b="b" l="l" r="r" t="t"/>
              <a:pathLst>
                <a:path extrusionOk="0" h="2966" w="1867">
                  <a:moveTo>
                    <a:pt x="548" y="0"/>
                  </a:moveTo>
                  <a:lnTo>
                    <a:pt x="1867" y="1484"/>
                  </a:lnTo>
                  <a:lnTo>
                    <a:pt x="548" y="2966"/>
                  </a:lnTo>
                  <a:lnTo>
                    <a:pt x="0" y="2479"/>
                  </a:lnTo>
                  <a:lnTo>
                    <a:pt x="885" y="1484"/>
                  </a:lnTo>
                  <a:lnTo>
                    <a:pt x="0" y="487"/>
                  </a:lnTo>
                  <a:lnTo>
                    <a:pt x="548" y="0"/>
                  </a:lnTo>
                  <a:close/>
                </a:path>
              </a:pathLst>
            </a:custGeom>
            <a:solidFill>
              <a:schemeClr val="lt1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95250</xdr:rowOff>
    </xdr:from>
    <xdr:ext cx="2105025" cy="266700"/>
    <xdr:grpSp>
      <xdr:nvGrpSpPr>
        <xdr:cNvPr id="2" name="Shape 2"/>
        <xdr:cNvGrpSpPr/>
      </xdr:nvGrpSpPr>
      <xdr:grpSpPr>
        <a:xfrm>
          <a:off x="4293488" y="3646650"/>
          <a:ext cx="2105025" cy="266700"/>
          <a:chOff x="4293488" y="3646650"/>
          <a:chExt cx="2105025" cy="266700"/>
        </a:xfrm>
      </xdr:grpSpPr>
      <xdr:grpSp>
        <xdr:nvGrpSpPr>
          <xdr:cNvPr descr="Navigation link to Marketing Plan Data worksheet" id="7" name="Shape 7"/>
          <xdr:cNvGrpSpPr/>
        </xdr:nvGrpSpPr>
        <xdr:grpSpPr>
          <a:xfrm>
            <a:off x="4293488" y="3646650"/>
            <a:ext cx="2105025" cy="266700"/>
            <a:chOff x="200024" y="981075"/>
            <a:chExt cx="2097896" cy="274320"/>
          </a:xfrm>
        </xdr:grpSpPr>
        <xdr:sp>
          <xdr:nvSpPr>
            <xdr:cNvPr id="4" name="Shape 4"/>
            <xdr:cNvSpPr/>
          </xdr:nvSpPr>
          <xdr:spPr>
            <a:xfrm>
              <a:off x="200024" y="981075"/>
              <a:ext cx="2097875" cy="274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descr="Navigation link to Marketing Plan Data worksheet" id="8" name="Shape 8">
              <a:hlinkClick r:id="rId1"/>
            </xdr:cNvPr>
            <xdr:cNvSpPr/>
          </xdr:nvSpPr>
          <xdr:spPr>
            <a:xfrm>
              <a:off x="200024" y="981075"/>
              <a:ext cx="2097896" cy="274320"/>
            </a:xfrm>
            <a:prstGeom prst="rect">
              <a:avLst/>
            </a:prstGeom>
            <a:solidFill>
              <a:srgbClr val="601A27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MARKETING PLAN </a:t>
              </a:r>
              <a:r>
                <a:rPr b="0" lang="en-US" sz="11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DATA</a:t>
              </a:r>
              <a:endParaRPr sz="1400"/>
            </a:p>
          </xdr:txBody>
        </xdr:sp>
        <xdr:sp>
          <xdr:nvSpPr>
            <xdr:cNvPr descr="Arrow" id="9" name="Shape 9"/>
            <xdr:cNvSpPr/>
          </xdr:nvSpPr>
          <xdr:spPr>
            <a:xfrm flipH="1">
              <a:off x="2094232" y="1059489"/>
              <a:ext cx="74248" cy="102614"/>
            </a:xfrm>
            <a:custGeom>
              <a:rect b="b" l="l" r="r" t="t"/>
              <a:pathLst>
                <a:path extrusionOk="0" h="2966" w="1867">
                  <a:moveTo>
                    <a:pt x="548" y="0"/>
                  </a:moveTo>
                  <a:lnTo>
                    <a:pt x="1867" y="1484"/>
                  </a:lnTo>
                  <a:lnTo>
                    <a:pt x="548" y="2966"/>
                  </a:lnTo>
                  <a:lnTo>
                    <a:pt x="0" y="2479"/>
                  </a:lnTo>
                  <a:lnTo>
                    <a:pt x="885" y="1484"/>
                  </a:lnTo>
                  <a:lnTo>
                    <a:pt x="0" y="487"/>
                  </a:lnTo>
                  <a:lnTo>
                    <a:pt x="548" y="0"/>
                  </a:lnTo>
                  <a:close/>
                </a:path>
              </a:pathLst>
            </a:custGeom>
            <a:solidFill>
              <a:schemeClr val="lt1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tables/table1.xml><?xml version="1.0" encoding="utf-8"?>
<table xmlns="http://schemas.openxmlformats.org/spreadsheetml/2006/main" ref="B3:C11" displayName="People" name="People" id="1">
  <tableColumns count="2">
    <tableColumn name="NAME" id="1"/>
    <tableColumn name="TITLE" id="2"/>
  </tableColumns>
  <tableStyleInfo name="List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1A843"/>
      </a:accent1>
      <a:accent2>
        <a:srgbClr val="3F839E"/>
      </a:accent2>
      <a:accent3>
        <a:srgbClr val="718950"/>
      </a:accent3>
      <a:accent4>
        <a:srgbClr val="9C3D49"/>
      </a:accent4>
      <a:accent5>
        <a:srgbClr val="77528C"/>
      </a:accent5>
      <a:accent6>
        <a:srgbClr val="C2344E"/>
      </a:accent6>
      <a:hlink>
        <a:srgbClr val="3778A9"/>
      </a:hlink>
      <a:folHlink>
        <a:srgbClr val="3778A9"/>
      </a:folHlink>
    </a:clrScheme>
    <a:fontScheme name="Sheets">
      <a:majorFont>
        <a:latin typeface="Euphemia"/>
        <a:ea typeface="Euphemia"/>
        <a:cs typeface="Euphemia"/>
      </a:majorFont>
      <a:minorFont>
        <a:latin typeface="Euphemia"/>
        <a:ea typeface="Euphemia"/>
        <a:cs typeface="Euphem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CA8E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13"/>
    <col customWidth="1" min="2" max="2" width="27.25"/>
    <col customWidth="1" min="3" max="3" width="17.13"/>
    <col customWidth="1" min="4" max="4" width="21.38"/>
    <col customWidth="1" min="5" max="5" width="8.63"/>
    <col customWidth="1" min="6" max="6" width="23.88"/>
    <col customWidth="1" min="7" max="7" width="26.63"/>
    <col customWidth="1" min="8" max="9" width="16.13"/>
    <col customWidth="1" min="10" max="10" width="15.38"/>
    <col customWidth="1" min="11" max="11" width="17.5"/>
    <col customWidth="1" min="12" max="13" width="15.38"/>
    <col customWidth="1" min="14" max="26" width="8.88"/>
  </cols>
  <sheetData>
    <row r="1" ht="30.0" customHeight="1">
      <c r="B1" s="1" t="s">
        <v>0</v>
      </c>
      <c r="C1" s="1"/>
      <c r="D1" s="1"/>
      <c r="E1" s="1"/>
      <c r="F1" s="2"/>
      <c r="G1" s="2"/>
      <c r="H1" s="2"/>
      <c r="I1" s="2" t="s">
        <v>1</v>
      </c>
      <c r="J1" s="2"/>
      <c r="K1" s="2"/>
      <c r="L1" s="2"/>
      <c r="M1" s="2"/>
    </row>
    <row r="2" ht="15.0" customHeight="1">
      <c r="B2" s="3" t="s">
        <v>2</v>
      </c>
      <c r="C2" s="3"/>
      <c r="F2" s="4"/>
      <c r="G2" s="5"/>
      <c r="H2" s="5"/>
      <c r="I2" s="5"/>
      <c r="J2" s="5"/>
      <c r="K2" s="5"/>
      <c r="L2" s="5"/>
      <c r="M2" s="6"/>
    </row>
    <row r="3" ht="19.5" customHeight="1">
      <c r="B3" s="7"/>
      <c r="C3" s="7"/>
      <c r="D3" s="8"/>
      <c r="E3" s="8"/>
      <c r="F3" s="9" t="s">
        <v>3</v>
      </c>
      <c r="G3" s="10" t="s">
        <v>4</v>
      </c>
      <c r="H3" s="11" t="s">
        <v>5</v>
      </c>
      <c r="I3" s="12" t="s">
        <v>6</v>
      </c>
      <c r="J3" s="13" t="s">
        <v>7</v>
      </c>
      <c r="K3" s="14" t="s">
        <v>8</v>
      </c>
      <c r="L3" s="15" t="s">
        <v>9</v>
      </c>
      <c r="M3" s="16" t="s">
        <v>10</v>
      </c>
    </row>
    <row r="4" ht="19.5" customHeight="1">
      <c r="B4" s="7"/>
      <c r="C4" s="7"/>
      <c r="D4" s="17"/>
      <c r="E4" s="8"/>
      <c r="F4" s="18" t="s">
        <v>11</v>
      </c>
      <c r="G4" s="19" t="s">
        <v>11</v>
      </c>
      <c r="H4" s="20" t="s">
        <v>11</v>
      </c>
      <c r="I4" s="21" t="s">
        <v>11</v>
      </c>
      <c r="J4" s="22" t="s">
        <v>11</v>
      </c>
      <c r="K4" s="23" t="s">
        <v>11</v>
      </c>
      <c r="L4" s="24" t="s">
        <v>12</v>
      </c>
      <c r="M4" s="26" t="s">
        <v>12</v>
      </c>
    </row>
    <row r="5">
      <c r="B5" s="27" t="s">
        <v>14</v>
      </c>
      <c r="C5" s="27" t="s">
        <v>15</v>
      </c>
      <c r="D5" s="27" t="s">
        <v>16</v>
      </c>
      <c r="E5" s="28" t="s">
        <v>17</v>
      </c>
      <c r="F5" s="29" t="s">
        <v>18</v>
      </c>
      <c r="G5" s="27" t="s">
        <v>19</v>
      </c>
      <c r="H5" s="27" t="s">
        <v>20</v>
      </c>
      <c r="I5" s="27" t="s">
        <v>21</v>
      </c>
      <c r="J5" s="27" t="s">
        <v>22</v>
      </c>
      <c r="K5" s="27" t="s">
        <v>23</v>
      </c>
      <c r="L5" s="27" t="s">
        <v>24</v>
      </c>
      <c r="M5" s="27" t="s">
        <v>25</v>
      </c>
    </row>
    <row r="6" ht="30.0" customHeight="1">
      <c r="A6" s="30">
        <v>1.0</v>
      </c>
      <c r="B6" s="31" t="s">
        <v>26</v>
      </c>
      <c r="C6" s="32" t="s">
        <v>27</v>
      </c>
      <c r="D6" s="34" t="s">
        <v>4</v>
      </c>
      <c r="E6" s="35">
        <v>0.6</v>
      </c>
      <c r="F6" s="36" t="s">
        <v>29</v>
      </c>
      <c r="G6" s="36" t="s">
        <v>29</v>
      </c>
      <c r="H6" s="37"/>
      <c r="I6" s="37">
        <v>46283.0</v>
      </c>
      <c r="J6" s="38"/>
      <c r="K6" s="38"/>
      <c r="L6" s="39">
        <v>400.0</v>
      </c>
      <c r="M6" s="40"/>
    </row>
    <row r="7" ht="30.0" customHeight="1">
      <c r="A7" s="30">
        <v>2.0</v>
      </c>
      <c r="B7" s="31" t="s">
        <v>30</v>
      </c>
      <c r="C7" s="32" t="s">
        <v>27</v>
      </c>
      <c r="D7" s="34" t="s">
        <v>4</v>
      </c>
      <c r="E7" s="31"/>
      <c r="F7" s="36" t="s">
        <v>29</v>
      </c>
      <c r="G7" s="36" t="s">
        <v>29</v>
      </c>
      <c r="H7" s="38"/>
      <c r="I7" s="37">
        <v>46283.0</v>
      </c>
      <c r="J7" s="38"/>
      <c r="K7" s="38"/>
      <c r="L7" s="40"/>
      <c r="M7" s="40"/>
    </row>
    <row r="8" ht="30.0" customHeight="1">
      <c r="A8" s="41">
        <v>3.0</v>
      </c>
      <c r="B8" s="31" t="s">
        <v>32</v>
      </c>
      <c r="C8" s="32" t="s">
        <v>34</v>
      </c>
      <c r="D8" s="43" t="s">
        <v>35</v>
      </c>
      <c r="E8" s="31"/>
      <c r="F8" s="36" t="s">
        <v>29</v>
      </c>
      <c r="G8" s="45" t="s">
        <v>29</v>
      </c>
      <c r="H8" s="38"/>
      <c r="I8" s="37">
        <v>46283.0</v>
      </c>
      <c r="J8" s="38"/>
      <c r="K8" s="38"/>
      <c r="L8" s="40"/>
      <c r="M8" s="40"/>
    </row>
    <row r="9" ht="30.0" customHeight="1">
      <c r="A9" s="30">
        <v>4.0</v>
      </c>
      <c r="B9" s="32" t="s">
        <v>40</v>
      </c>
      <c r="C9" s="32" t="s">
        <v>34</v>
      </c>
      <c r="D9" s="43" t="s">
        <v>3</v>
      </c>
      <c r="E9" s="31"/>
      <c r="F9" s="45" t="s">
        <v>29</v>
      </c>
      <c r="G9" s="45" t="s">
        <v>29</v>
      </c>
      <c r="H9" s="38"/>
      <c r="I9" s="37">
        <v>46289.0</v>
      </c>
      <c r="J9" s="38"/>
      <c r="K9" s="38"/>
      <c r="L9" s="39">
        <v>15.0</v>
      </c>
      <c r="M9" s="40"/>
    </row>
    <row r="10" ht="30.0" customHeight="1">
      <c r="A10" s="30">
        <v>5.0</v>
      </c>
      <c r="B10" s="31" t="s">
        <v>44</v>
      </c>
      <c r="C10" s="31" t="s">
        <v>27</v>
      </c>
      <c r="D10" s="34" t="s">
        <v>4</v>
      </c>
      <c r="E10" s="31"/>
      <c r="F10" s="36" t="s">
        <v>29</v>
      </c>
      <c r="G10" s="36" t="s">
        <v>29</v>
      </c>
      <c r="H10" s="38"/>
      <c r="I10" s="37" t="s">
        <v>45</v>
      </c>
      <c r="J10" s="38"/>
      <c r="K10" s="38"/>
      <c r="L10" s="39" t="s">
        <v>46</v>
      </c>
      <c r="M10" s="40"/>
    </row>
    <row r="11" ht="30.0" customHeight="1">
      <c r="A11" s="41">
        <v>6.0</v>
      </c>
      <c r="B11" s="31" t="s">
        <v>47</v>
      </c>
      <c r="C11" s="31" t="s">
        <v>27</v>
      </c>
      <c r="D11" s="43" t="s">
        <v>35</v>
      </c>
      <c r="E11" s="31"/>
      <c r="F11" s="36" t="s">
        <v>29</v>
      </c>
      <c r="G11" s="36" t="s">
        <v>29</v>
      </c>
      <c r="H11" s="38"/>
      <c r="I11" s="37">
        <v>46281.0</v>
      </c>
      <c r="J11" s="38"/>
      <c r="K11" s="38"/>
      <c r="L11" s="40"/>
      <c r="M11" s="40"/>
    </row>
    <row r="12" ht="30.0" customHeight="1">
      <c r="A12" s="30">
        <v>7.0</v>
      </c>
      <c r="B12" s="32" t="s">
        <v>48</v>
      </c>
      <c r="C12" s="32" t="s">
        <v>34</v>
      </c>
      <c r="D12" s="43" t="s">
        <v>35</v>
      </c>
      <c r="E12" s="31"/>
      <c r="F12" s="45" t="s">
        <v>29</v>
      </c>
      <c r="G12" s="36" t="s">
        <v>29</v>
      </c>
      <c r="H12" s="38"/>
      <c r="I12" s="37">
        <v>46281.0</v>
      </c>
      <c r="J12" s="38"/>
      <c r="K12" s="38"/>
      <c r="L12" s="39"/>
      <c r="M12" s="40"/>
    </row>
    <row r="13" ht="36.75" customHeight="1">
      <c r="A13" s="30">
        <v>8.0</v>
      </c>
      <c r="B13" s="32" t="s">
        <v>49</v>
      </c>
      <c r="C13" s="32" t="s">
        <v>34</v>
      </c>
      <c r="D13" s="43" t="s">
        <v>3</v>
      </c>
      <c r="E13" s="48">
        <v>0.0</v>
      </c>
      <c r="F13" s="36" t="s">
        <v>29</v>
      </c>
      <c r="G13" s="36" t="s">
        <v>29</v>
      </c>
      <c r="H13" s="38"/>
      <c r="I13" s="37">
        <v>46305.0</v>
      </c>
      <c r="J13" s="38"/>
      <c r="K13" s="38"/>
      <c r="L13" s="40"/>
      <c r="M13" s="40"/>
    </row>
    <row r="14" ht="36.0" customHeight="1">
      <c r="A14" s="41">
        <v>9.0</v>
      </c>
      <c r="B14" s="31" t="s">
        <v>50</v>
      </c>
      <c r="C14" s="31" t="s">
        <v>27</v>
      </c>
      <c r="D14" s="34" t="s">
        <v>3</v>
      </c>
      <c r="E14" s="48">
        <v>0.0</v>
      </c>
      <c r="F14" s="36" t="s">
        <v>31</v>
      </c>
      <c r="G14" s="45" t="s">
        <v>42</v>
      </c>
      <c r="H14" s="38"/>
      <c r="I14" s="37">
        <v>46295.0</v>
      </c>
      <c r="J14" s="38"/>
      <c r="K14" s="38"/>
      <c r="L14" s="40"/>
      <c r="M14" s="40"/>
    </row>
    <row r="15" ht="51.75" customHeight="1">
      <c r="A15" s="30">
        <v>10.0</v>
      </c>
      <c r="B15" s="49" t="s">
        <v>51</v>
      </c>
      <c r="C15" s="32" t="s">
        <v>34</v>
      </c>
      <c r="D15" s="34" t="s">
        <v>3</v>
      </c>
      <c r="E15" s="48"/>
      <c r="F15" s="45" t="s">
        <v>29</v>
      </c>
      <c r="G15" s="45" t="s">
        <v>29</v>
      </c>
      <c r="H15" s="38"/>
      <c r="I15" s="37">
        <v>46305.0</v>
      </c>
      <c r="J15" s="38"/>
      <c r="K15" s="38"/>
      <c r="L15" s="40"/>
      <c r="M15" s="40"/>
    </row>
    <row r="16" ht="43.5" customHeight="1">
      <c r="A16" s="30">
        <v>11.0</v>
      </c>
      <c r="B16" s="49" t="s">
        <v>52</v>
      </c>
      <c r="C16" s="32" t="s">
        <v>34</v>
      </c>
      <c r="D16" s="34" t="s">
        <v>3</v>
      </c>
      <c r="E16" s="48"/>
      <c r="F16" s="45" t="s">
        <v>29</v>
      </c>
      <c r="G16" s="45" t="s">
        <v>29</v>
      </c>
      <c r="H16" s="38"/>
      <c r="I16" s="37">
        <v>46306.0</v>
      </c>
      <c r="J16" s="38"/>
      <c r="K16" s="38"/>
      <c r="L16" s="40"/>
      <c r="M16" s="40"/>
    </row>
    <row r="17" ht="30.0" customHeight="1">
      <c r="A17" s="41">
        <v>12.0</v>
      </c>
      <c r="B17" s="31" t="s">
        <v>53</v>
      </c>
      <c r="C17" s="31" t="s">
        <v>27</v>
      </c>
      <c r="D17" s="34" t="s">
        <v>3</v>
      </c>
      <c r="E17" s="48">
        <v>0.0</v>
      </c>
      <c r="F17" s="45" t="s">
        <v>42</v>
      </c>
      <c r="G17" s="45" t="s">
        <v>42</v>
      </c>
      <c r="H17" s="38"/>
      <c r="I17" s="37">
        <v>46295.0</v>
      </c>
      <c r="J17" s="38"/>
      <c r="K17" s="38"/>
      <c r="L17" s="40"/>
      <c r="M17" s="40"/>
    </row>
    <row r="18" ht="30.0" customHeight="1">
      <c r="A18" s="30">
        <v>13.0</v>
      </c>
      <c r="B18" s="31" t="s">
        <v>54</v>
      </c>
      <c r="C18" s="31" t="s">
        <v>27</v>
      </c>
      <c r="D18" s="34" t="s">
        <v>3</v>
      </c>
      <c r="E18" s="48">
        <v>0.0</v>
      </c>
      <c r="F18" s="45" t="s">
        <v>42</v>
      </c>
      <c r="G18" s="45" t="s">
        <v>42</v>
      </c>
      <c r="H18" s="38"/>
      <c r="I18" s="37">
        <v>46295.0</v>
      </c>
      <c r="J18" s="38"/>
      <c r="K18" s="38"/>
      <c r="L18" s="40"/>
      <c r="M18" s="40"/>
    </row>
    <row r="19" ht="30.0" customHeight="1">
      <c r="A19" s="30">
        <v>14.0</v>
      </c>
      <c r="B19" s="31" t="s">
        <v>55</v>
      </c>
      <c r="C19" s="31" t="s">
        <v>41</v>
      </c>
      <c r="D19" s="34" t="s">
        <v>8</v>
      </c>
      <c r="E19" s="48">
        <v>0.25</v>
      </c>
      <c r="F19" s="36" t="s">
        <v>31</v>
      </c>
      <c r="G19" s="36" t="s">
        <v>31</v>
      </c>
      <c r="H19" s="38"/>
      <c r="I19" s="37">
        <v>46296.0</v>
      </c>
      <c r="J19" s="38"/>
      <c r="K19" s="38"/>
      <c r="L19" s="39">
        <v>4000.0</v>
      </c>
      <c r="M19" s="40"/>
    </row>
    <row r="20" ht="30.0" customHeight="1">
      <c r="A20" s="41">
        <v>15.0</v>
      </c>
      <c r="B20" s="31" t="s">
        <v>56</v>
      </c>
      <c r="C20" s="31" t="s">
        <v>41</v>
      </c>
      <c r="D20" s="34" t="s">
        <v>8</v>
      </c>
      <c r="E20" s="48">
        <v>0.25</v>
      </c>
      <c r="F20" s="36" t="s">
        <v>31</v>
      </c>
      <c r="G20" s="36" t="s">
        <v>31</v>
      </c>
      <c r="H20" s="38">
        <v>46295.0</v>
      </c>
      <c r="I20" s="37">
        <v>46295.0</v>
      </c>
      <c r="J20" s="38"/>
      <c r="K20" s="38"/>
      <c r="L20" s="40"/>
      <c r="M20" s="40"/>
    </row>
    <row r="21" ht="30.0" customHeight="1">
      <c r="A21" s="30">
        <v>16.0</v>
      </c>
      <c r="B21" s="31" t="s">
        <v>57</v>
      </c>
      <c r="C21" s="31" t="s">
        <v>41</v>
      </c>
      <c r="D21" s="43" t="s">
        <v>8</v>
      </c>
      <c r="E21" s="31"/>
      <c r="F21" s="36" t="s">
        <v>29</v>
      </c>
      <c r="G21" s="36" t="s">
        <v>29</v>
      </c>
      <c r="H21" s="38"/>
      <c r="I21" s="38"/>
      <c r="J21" s="38"/>
      <c r="K21" s="38"/>
      <c r="L21" s="39">
        <v>15000.0</v>
      </c>
      <c r="M21" s="40"/>
    </row>
    <row r="22" ht="30.0" customHeight="1">
      <c r="A22" s="30">
        <v>17.0</v>
      </c>
      <c r="B22" s="31" t="s">
        <v>58</v>
      </c>
      <c r="C22" s="31" t="s">
        <v>41</v>
      </c>
      <c r="D22" s="34" t="s">
        <v>3</v>
      </c>
      <c r="E22" s="48">
        <v>0.0</v>
      </c>
      <c r="F22" s="36" t="s">
        <v>31</v>
      </c>
      <c r="G22" s="36" t="s">
        <v>31</v>
      </c>
      <c r="H22" s="38"/>
      <c r="I22" s="38"/>
      <c r="J22" s="38"/>
      <c r="K22" s="38"/>
      <c r="L22" s="39">
        <v>1000.0</v>
      </c>
      <c r="M22" s="40"/>
    </row>
    <row r="23" ht="30.0" customHeight="1">
      <c r="A23" s="41">
        <v>18.0</v>
      </c>
      <c r="B23" s="31" t="s">
        <v>59</v>
      </c>
      <c r="C23" s="31" t="s">
        <v>41</v>
      </c>
      <c r="D23" s="34" t="s">
        <v>3</v>
      </c>
      <c r="E23" s="48">
        <v>0.0</v>
      </c>
      <c r="F23" s="36" t="s">
        <v>31</v>
      </c>
      <c r="G23" s="36" t="s">
        <v>31</v>
      </c>
      <c r="H23" s="38"/>
      <c r="I23" s="38"/>
      <c r="J23" s="38"/>
      <c r="K23" s="38"/>
      <c r="L23" s="39">
        <v>650.0</v>
      </c>
      <c r="M23" s="40"/>
    </row>
    <row r="24" ht="30.0" customHeight="1">
      <c r="A24" s="30">
        <v>19.0</v>
      </c>
      <c r="B24" s="31" t="s">
        <v>60</v>
      </c>
      <c r="C24" s="31" t="s">
        <v>41</v>
      </c>
      <c r="D24" s="34" t="s">
        <v>3</v>
      </c>
      <c r="E24" s="48">
        <v>0.0</v>
      </c>
      <c r="F24" s="36" t="s">
        <v>31</v>
      </c>
      <c r="G24" s="36" t="s">
        <v>31</v>
      </c>
      <c r="H24" s="38"/>
      <c r="I24" s="38"/>
      <c r="J24" s="38"/>
      <c r="K24" s="38"/>
      <c r="L24" s="40"/>
      <c r="M24" s="40"/>
    </row>
    <row r="25" ht="30.0" customHeight="1">
      <c r="A25" s="30">
        <v>20.0</v>
      </c>
      <c r="B25" s="31" t="s">
        <v>61</v>
      </c>
      <c r="C25" s="31" t="s">
        <v>43</v>
      </c>
      <c r="D25" s="34" t="s">
        <v>3</v>
      </c>
      <c r="E25" s="48">
        <v>0.0</v>
      </c>
      <c r="F25" s="36" t="s">
        <v>31</v>
      </c>
      <c r="G25" s="36" t="s">
        <v>31</v>
      </c>
      <c r="H25" s="38"/>
      <c r="I25" s="38"/>
      <c r="J25" s="38"/>
      <c r="K25" s="38"/>
      <c r="L25" s="39">
        <v>400.0</v>
      </c>
      <c r="M25" s="40"/>
    </row>
    <row r="26" ht="30.0" customHeight="1">
      <c r="A26" s="41">
        <v>21.0</v>
      </c>
      <c r="B26" s="31" t="s">
        <v>62</v>
      </c>
      <c r="C26" s="31" t="s">
        <v>36</v>
      </c>
      <c r="D26" s="34" t="s">
        <v>3</v>
      </c>
      <c r="E26" s="48">
        <v>0.0</v>
      </c>
      <c r="F26" s="36" t="s">
        <v>31</v>
      </c>
      <c r="G26" s="36" t="s">
        <v>31</v>
      </c>
      <c r="H26" s="38">
        <v>46296.0</v>
      </c>
      <c r="I26" s="38"/>
      <c r="J26" s="38"/>
      <c r="K26" s="38"/>
      <c r="L26" s="40">
        <f>28*6+155+23.5</f>
        <v>346.5</v>
      </c>
      <c r="M26" s="40"/>
    </row>
    <row r="27" ht="30.0" customHeight="1">
      <c r="A27" s="30">
        <v>22.0</v>
      </c>
      <c r="B27" s="32" t="s">
        <v>63</v>
      </c>
      <c r="C27" s="31" t="s">
        <v>36</v>
      </c>
      <c r="D27" s="34" t="s">
        <v>3</v>
      </c>
      <c r="E27" s="48">
        <v>0.0</v>
      </c>
      <c r="F27" s="36" t="s">
        <v>31</v>
      </c>
      <c r="G27" s="36" t="s">
        <v>31</v>
      </c>
      <c r="H27" s="38">
        <v>46296.0</v>
      </c>
      <c r="I27" s="38"/>
      <c r="J27" s="38"/>
      <c r="K27" s="38"/>
      <c r="L27" s="40">
        <f>250</f>
        <v>250</v>
      </c>
      <c r="M27" s="40"/>
    </row>
    <row r="28" ht="57.75" customHeight="1">
      <c r="A28" s="30">
        <v>23.0</v>
      </c>
      <c r="B28" s="49" t="s">
        <v>64</v>
      </c>
      <c r="C28" s="32" t="s">
        <v>34</v>
      </c>
      <c r="D28" s="43" t="s">
        <v>3</v>
      </c>
      <c r="E28" s="48"/>
      <c r="F28" s="45" t="s">
        <v>29</v>
      </c>
      <c r="G28" s="36"/>
      <c r="H28" s="38"/>
      <c r="I28" s="37">
        <v>46305.0</v>
      </c>
      <c r="J28" s="38"/>
      <c r="K28" s="38"/>
      <c r="L28" s="40"/>
      <c r="M28" s="40"/>
    </row>
    <row r="29" ht="57.0" customHeight="1">
      <c r="A29" s="41">
        <v>24.0</v>
      </c>
      <c r="B29" s="49" t="s">
        <v>65</v>
      </c>
      <c r="C29" s="31"/>
      <c r="D29" s="43" t="s">
        <v>4</v>
      </c>
      <c r="E29" s="48"/>
      <c r="F29" s="45" t="s">
        <v>31</v>
      </c>
      <c r="G29" s="36"/>
      <c r="H29" s="38"/>
      <c r="I29" s="38"/>
      <c r="J29" s="38"/>
      <c r="K29" s="38"/>
      <c r="L29" s="40"/>
      <c r="M29" s="40"/>
    </row>
    <row r="30">
      <c r="A30" s="30">
        <v>25.0</v>
      </c>
      <c r="B30" s="49" t="s">
        <v>66</v>
      </c>
      <c r="C30" s="31"/>
      <c r="D30" s="43" t="s">
        <v>3</v>
      </c>
      <c r="E30" s="48"/>
      <c r="F30" s="45" t="s">
        <v>38</v>
      </c>
      <c r="G30" s="36"/>
      <c r="H30" s="38"/>
      <c r="I30" s="38"/>
      <c r="J30" s="38"/>
      <c r="K30" s="38"/>
      <c r="L30" s="40"/>
      <c r="M30" s="40"/>
    </row>
    <row r="31" ht="30.0" customHeight="1">
      <c r="A31" s="30"/>
      <c r="B31" s="31"/>
      <c r="C31" s="31"/>
      <c r="D31" s="34"/>
      <c r="E31" s="48"/>
      <c r="F31" s="36"/>
      <c r="G31" s="36"/>
      <c r="H31" s="38"/>
      <c r="I31" s="38"/>
      <c r="J31" s="38"/>
      <c r="K31" s="38"/>
      <c r="L31" s="40"/>
      <c r="M31" s="40"/>
    </row>
    <row r="32" ht="30.0" customHeight="1">
      <c r="A32" s="30"/>
      <c r="B32" s="31"/>
      <c r="C32" s="31"/>
      <c r="D32" s="34"/>
      <c r="E32" s="48"/>
      <c r="F32" s="36"/>
      <c r="G32" s="36"/>
      <c r="H32" s="38"/>
      <c r="I32" s="38"/>
      <c r="J32" s="38"/>
      <c r="K32" s="38"/>
      <c r="L32" s="40"/>
      <c r="M32" s="40"/>
    </row>
    <row r="33" ht="30.0" customHeight="1">
      <c r="A33" s="30"/>
      <c r="B33" s="31"/>
      <c r="C33" s="31"/>
      <c r="D33" s="34"/>
      <c r="E33" s="31"/>
      <c r="F33" s="36"/>
      <c r="G33" s="36"/>
      <c r="H33" s="38"/>
      <c r="I33" s="38"/>
      <c r="J33" s="38"/>
      <c r="K33" s="38"/>
      <c r="L33" s="40"/>
      <c r="M33" s="40"/>
    </row>
    <row r="34" ht="30.0" customHeight="1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50">
        <f>SUM(L6:L33)</f>
        <v>22061.5</v>
      </c>
      <c r="M34" s="36"/>
    </row>
    <row r="35" ht="30.0" customHeight="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ht="30.0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ht="30.0" customHeight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ht="30.0" customHeight="1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ht="30.0" customHeigh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ht="30.0" customHeight="1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ht="30.0" customHeigh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ht="30.0" customHeigh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ht="30.0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ht="30.0" customHeight="1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ht="30.0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ht="30.0" customHeigh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ht="30.0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ht="30.0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ht="30.0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ht="30.0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ht="30.0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ht="30.0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ht="30.0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ht="30.0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ht="30.0" customHeigh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ht="30.0" customHeigh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ht="30.0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ht="30.0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ht="30.0" customHeigh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ht="30.0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ht="30.0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ht="30.0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ht="30.0" customHeight="1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ht="30.0" customHeigh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ht="30.0" customHeigh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ht="30.0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ht="30.0" customHeigh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ht="30.0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ht="30.0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ht="30.0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ht="30.0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ht="30.0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ht="30.0" customHeigh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ht="30.0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ht="30.0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ht="30.0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ht="30.0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ht="30.0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ht="30.0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ht="30.0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ht="30.0" customHeigh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ht="30.0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ht="30.0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ht="30.0" customHeigh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ht="30.0" customHeigh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ht="30.0" customHeigh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ht="30.0" customHeigh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ht="30.0" customHeigh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ht="30.0" customHeigh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ht="30.0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ht="30.0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ht="30.0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ht="30.0" customHeigh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ht="30.0" customHeigh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ht="30.0" customHeight="1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ht="30.0" customHeight="1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ht="30.0" customHeight="1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ht="30.0" customHeigh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ht="30.0" customHeigh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ht="30.0" customHeigh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ht="30.0" customHeight="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ht="30.0" customHeight="1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ht="30.0" customHeight="1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ht="30.0" customHeight="1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ht="30.0" customHeight="1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ht="30.0" customHeight="1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ht="30.0" customHeight="1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ht="30.0" customHeight="1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ht="30.0" customHeight="1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ht="30.0" customHeight="1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ht="30.0" customHeight="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ht="30.0" customHeigh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ht="30.0" customHeight="1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ht="30.0" customHeight="1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ht="30.0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ht="30.0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ht="30.0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ht="30.0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ht="30.0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ht="30.0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ht="30.0" customHeight="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ht="30.0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ht="30.0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ht="30.0" customHeight="1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ht="30.0" customHeight="1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ht="30.0" customHeigh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ht="30.0" customHeight="1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ht="30.0" customHeight="1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ht="30.0" customHeight="1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ht="30.0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ht="30.0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ht="30.0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ht="30.0" customHeight="1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ht="30.0" customHeight="1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ht="30.0" customHeight="1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ht="30.0" customHeight="1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ht="30.0" customHeight="1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ht="30.0" customHeight="1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ht="30.0" customHeight="1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ht="30.0" customHeight="1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ht="30.0" customHeight="1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ht="30.0" customHeight="1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ht="30.0" customHeight="1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ht="30.0" customHeight="1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ht="30.0" customHeight="1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ht="30.0" customHeight="1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ht="30.0" customHeight="1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ht="30.0" customHeight="1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ht="30.0" customHeight="1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ht="30.0" customHeight="1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ht="30.0" customHeight="1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ht="30.0" customHeight="1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ht="30.0" customHeight="1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ht="30.0" customHeight="1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ht="30.0" customHeigh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ht="30.0" customHeigh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ht="30.0" customHeigh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ht="30.0" customHeight="1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ht="30.0" customHeight="1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ht="30.0" customHeight="1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ht="30.0" customHeight="1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ht="30.0" customHeight="1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ht="30.0" customHeight="1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ht="30.0" customHeight="1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ht="30.0" customHeight="1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ht="30.0" customHeight="1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ht="30.0" customHeight="1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ht="30.0" customHeight="1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ht="30.0" customHeight="1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ht="30.0" customHeight="1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ht="30.0" customHeight="1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ht="30.0" customHeight="1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ht="30.0" customHeight="1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ht="30.0" customHeight="1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ht="30.0" customHeight="1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ht="30.0" customHeight="1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ht="30.0" customHeight="1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ht="30.0" customHeight="1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ht="30.0" customHeight="1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ht="30.0" customHeight="1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ht="30.0" customHeight="1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ht="30.0" customHeight="1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ht="30.0" customHeight="1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ht="30.0" customHeight="1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ht="30.0" customHeight="1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ht="30.0" customHeight="1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ht="30.0" customHeight="1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ht="30.0" customHeight="1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ht="30.0" customHeight="1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ht="30.0" customHeight="1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ht="30.0" customHeight="1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ht="30.0" customHeight="1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ht="30.0" customHeight="1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ht="30.0" customHeight="1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ht="30.0" customHeight="1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ht="30.0" customHeight="1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ht="30.0" customHeight="1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ht="30.0" customHeight="1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ht="30.0" customHeight="1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ht="30.0" customHeight="1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ht="30.0" customHeight="1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ht="30.0" customHeight="1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ht="30.0" customHeight="1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ht="30.0" customHeight="1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ht="30.0" customHeight="1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ht="30.0" customHeight="1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ht="30.0" customHeight="1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ht="30.0" customHeight="1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ht="30.0" customHeight="1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ht="30.0" customHeight="1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ht="30.0" customHeight="1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ht="30.0" customHeight="1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ht="30.0" customHeight="1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ht="30.0" customHeight="1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ht="30.0" customHeight="1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ht="30.0" customHeight="1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ht="30.0" customHeight="1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ht="30.0" customHeight="1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ht="30.0" customHeight="1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ht="30.0" customHeight="1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ht="30.0" customHeight="1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ht="30.0" customHeight="1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ht="30.0" customHeight="1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ht="30.0" customHeight="1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ht="30.0" customHeight="1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ht="30.0" customHeight="1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ht="30.0" customHeight="1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ht="30.0" customHeight="1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ht="30.0" customHeight="1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ht="30.0" customHeight="1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ht="30.0" customHeight="1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ht="30.0" customHeight="1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ht="30.0" customHeight="1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ht="30.0" customHeight="1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ht="30.0" customHeight="1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ht="30.0" customHeight="1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ht="30.0" customHeight="1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ht="30.0" customHeight="1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ht="30.0" customHeight="1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ht="30.0" customHeight="1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ht="30.0" customHeight="1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ht="30.0" customHeight="1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ht="30.0" customHeight="1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ht="30.0" customHeight="1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ht="30.0" customHeight="1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ht="30.0" customHeight="1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ht="30.0" customHeight="1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ht="30.0" customHeight="1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ht="30.0" customHeight="1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ht="30.0" customHeight="1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ht="30.0" customHeight="1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ht="30.0" customHeight="1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ht="30.0" customHeight="1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ht="30.0" customHeight="1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ht="30.0" customHeight="1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ht="30.0" customHeight="1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ht="30.0" customHeight="1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ht="30.0" customHeight="1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ht="30.0" customHeight="1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ht="30.0" customHeight="1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ht="30.0" customHeight="1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ht="30.0" customHeight="1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ht="30.0" customHeight="1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ht="30.0" customHeight="1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ht="30.0" customHeight="1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ht="30.0" customHeight="1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ht="30.0" customHeight="1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ht="30.0" customHeight="1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ht="30.0" customHeight="1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ht="30.0" customHeight="1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ht="30.0" customHeight="1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ht="30.0" customHeight="1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ht="30.0" customHeight="1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ht="30.0" customHeight="1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ht="30.0" customHeight="1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ht="30.0" customHeight="1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ht="30.0" customHeight="1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ht="30.0" customHeight="1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ht="30.0" customHeight="1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ht="30.0" customHeight="1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ht="30.0" customHeight="1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ht="30.0" customHeight="1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ht="30.0" customHeight="1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ht="30.0" customHeight="1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ht="30.0" customHeight="1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ht="30.0" customHeight="1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ht="30.0" customHeight="1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ht="30.0" customHeight="1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ht="30.0" customHeight="1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ht="30.0" customHeight="1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ht="30.0" customHeight="1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ht="30.0" customHeight="1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ht="30.0" customHeight="1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ht="30.0" customHeight="1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ht="30.0" customHeight="1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ht="30.0" customHeight="1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ht="30.0" customHeight="1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ht="30.0" customHeight="1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ht="30.0" customHeight="1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ht="30.0" customHeight="1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t="30.0" customHeight="1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ht="30.0" customHeight="1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ht="30.0" customHeight="1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ht="30.0" customHeight="1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ht="30.0" customHeight="1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ht="30.0" customHeight="1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ht="30.0" customHeight="1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ht="30.0" customHeight="1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ht="30.0" customHeight="1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ht="30.0" customHeight="1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ht="30.0" customHeight="1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ht="30.0" customHeight="1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ht="30.0" customHeight="1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ht="30.0" customHeight="1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ht="30.0" customHeight="1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ht="30.0" customHeight="1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ht="30.0" customHeight="1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ht="30.0" customHeight="1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ht="30.0" customHeight="1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ht="30.0" customHeight="1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ht="30.0" customHeight="1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t="30.0" customHeight="1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ht="30.0" customHeight="1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ht="30.0" customHeight="1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ht="30.0" customHeight="1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ht="30.0" customHeight="1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ht="30.0" customHeight="1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ht="30.0" customHeight="1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ht="30.0" customHeight="1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ht="30.0" customHeight="1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ht="30.0" customHeight="1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ht="30.0" customHeight="1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ht="30.0" customHeight="1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ht="30.0" customHeight="1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ht="30.0" customHeight="1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ht="30.0" customHeight="1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ht="30.0" customHeight="1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ht="30.0" customHeight="1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ht="30.0" customHeight="1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 ht="30.0" customHeight="1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 ht="30.0" customHeight="1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ht="30.0" customHeight="1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ht="30.0" customHeight="1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ht="30.0" customHeight="1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ht="30.0" customHeight="1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ht="30.0" customHeight="1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ht="30.0" customHeight="1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ht="30.0" customHeight="1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ht="30.0" customHeight="1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ht="30.0" customHeight="1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ht="30.0" customHeight="1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ht="30.0" customHeight="1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ht="30.0" customHeight="1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ht="30.0" customHeight="1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ht="30.0" customHeight="1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ht="30.0" customHeight="1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ht="30.0" customHeight="1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ht="30.0" customHeight="1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ht="30.0" customHeight="1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ht="30.0" customHeight="1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ht="30.0" customHeight="1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ht="30.0" customHeight="1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ht="30.0" customHeight="1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 ht="30.0" customHeight="1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 ht="30.0" customHeight="1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ht="30.0" customHeight="1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ht="30.0" customHeight="1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ht="30.0" customHeight="1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ht="30.0" customHeight="1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 ht="30.0" customHeight="1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ht="30.0" customHeight="1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ht="30.0" customHeight="1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ht="30.0" customHeight="1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ht="30.0" customHeight="1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ht="30.0" customHeight="1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ht="30.0" customHeight="1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ht="30.0" customHeight="1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ht="30.0" customHeight="1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ht="30.0" customHeight="1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ht="30.0" customHeight="1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ht="30.0" customHeight="1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ht="30.0" customHeight="1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ht="30.0" customHeight="1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ht="30.0" customHeight="1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ht="30.0" customHeight="1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ht="30.0" customHeight="1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 ht="30.0" customHeight="1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 ht="30.0" customHeight="1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 ht="30.0" customHeight="1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ht="30.0" customHeight="1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 ht="30.0" customHeight="1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ht="30.0" customHeight="1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ht="30.0" customHeight="1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ht="30.0" customHeight="1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ht="30.0" customHeight="1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ht="30.0" customHeight="1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ht="30.0" customHeight="1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ht="30.0" customHeight="1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ht="30.0" customHeight="1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ht="30.0" customHeight="1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ht="30.0" customHeight="1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ht="30.0" customHeight="1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ht="30.0" customHeight="1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ht="30.0" customHeight="1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ht="30.0" customHeight="1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ht="30.0" customHeight="1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ht="30.0" customHeight="1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ht="30.0" customHeight="1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ht="30.0" customHeight="1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ht="30.0" customHeight="1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ht="30.0" customHeight="1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 ht="30.0" customHeight="1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 ht="30.0" customHeight="1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 ht="30.0" customHeight="1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 ht="30.0" customHeight="1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ht="30.0" customHeight="1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ht="30.0" customHeight="1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ht="30.0" customHeight="1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ht="30.0" customHeight="1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ht="30.0" customHeight="1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ht="30.0" customHeight="1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ht="30.0" customHeight="1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ht="30.0" customHeight="1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ht="30.0" customHeight="1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ht="30.0" customHeight="1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ht="30.0" customHeight="1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ht="30.0" customHeight="1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ht="30.0" customHeight="1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ht="30.0" customHeight="1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ht="30.0" customHeight="1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ht="30.0" customHeight="1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ht="30.0" customHeight="1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ht="30.0" customHeight="1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ht="30.0" customHeight="1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ht="30.0" customHeight="1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 ht="30.0" customHeight="1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 ht="30.0" customHeight="1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 ht="30.0" customHeight="1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ht="30.0" customHeight="1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 ht="30.0" customHeight="1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 ht="30.0" customHeight="1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ht="30.0" customHeight="1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ht="30.0" customHeight="1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ht="30.0" customHeight="1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ht="30.0" customHeight="1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 ht="30.0" customHeight="1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ht="30.0" customHeight="1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ht="30.0" customHeight="1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ht="30.0" customHeight="1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ht="30.0" customHeight="1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ht="30.0" customHeight="1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ht="30.0" customHeight="1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ht="30.0" customHeight="1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ht="30.0" customHeight="1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ht="30.0" customHeight="1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ht="30.0" customHeight="1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ht="30.0" customHeight="1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ht="30.0" customHeight="1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 ht="30.0" customHeight="1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 ht="30.0" customHeight="1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 ht="30.0" customHeight="1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 ht="30.0" customHeight="1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 ht="30.0" customHeight="1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 ht="30.0" customHeight="1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ht="30.0" customHeight="1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 ht="30.0" customHeight="1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ht="30.0" customHeight="1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 ht="30.0" customHeight="1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 ht="30.0" customHeight="1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 ht="30.0" customHeight="1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 ht="30.0" customHeight="1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 ht="30.0" customHeight="1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 ht="30.0" customHeight="1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ht="30.0" customHeight="1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ht="30.0" customHeight="1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ht="30.0" customHeight="1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ht="30.0" customHeight="1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ht="30.0" customHeight="1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ht="30.0" customHeight="1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ht="30.0" customHeight="1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ht="30.0" customHeight="1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ht="30.0" customHeight="1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 ht="30.0" customHeight="1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 ht="30.0" customHeight="1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 ht="30.0" customHeight="1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 ht="30.0" customHeight="1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 ht="30.0" customHeight="1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ht="30.0" customHeight="1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ht="30.0" customHeight="1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ht="30.0" customHeight="1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 ht="30.0" customHeight="1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ht="30.0" customHeight="1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ht="30.0" customHeight="1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ht="30.0" customHeight="1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ht="30.0" customHeight="1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ht="30.0" customHeight="1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ht="30.0" customHeight="1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ht="30.0" customHeight="1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ht="30.0" customHeight="1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ht="30.0" customHeight="1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ht="30.0" customHeight="1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 ht="30.0" customHeight="1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 ht="30.0" customHeight="1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 ht="30.0" customHeight="1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 ht="30.0" customHeight="1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ht="30.0" customHeight="1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ht="30.0" customHeight="1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ht="30.0" customHeight="1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ht="30.0" customHeight="1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ht="30.0" customHeight="1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ht="30.0" customHeight="1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ht="30.0" customHeight="1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ht="30.0" customHeight="1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ht="30.0" customHeight="1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ht="30.0" customHeight="1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ht="30.0" customHeight="1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ht="30.0" customHeight="1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ht="30.0" customHeight="1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ht="30.0" customHeight="1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ht="30.0" customHeight="1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ht="30.0" customHeight="1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ht="30.0" customHeight="1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ht="30.0" customHeight="1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ht="30.0" customHeight="1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ht="30.0" customHeight="1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ht="30.0" customHeight="1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ht="30.0" customHeight="1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 ht="30.0" customHeight="1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 ht="30.0" customHeight="1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 ht="30.0" customHeight="1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 ht="30.0" customHeight="1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 ht="30.0" customHeight="1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 ht="30.0" customHeight="1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 ht="30.0" customHeight="1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 ht="30.0" customHeight="1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 ht="30.0" customHeight="1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 ht="30.0" customHeight="1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ht="30.0" customHeight="1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ht="30.0" customHeight="1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 ht="30.0" customHeight="1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ht="30.0" customHeight="1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ht="30.0" customHeight="1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ht="30.0" customHeight="1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ht="30.0" customHeight="1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ht="30.0" customHeight="1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ht="30.0" customHeight="1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ht="30.0" customHeight="1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ht="30.0" customHeight="1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ht="30.0" customHeight="1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ht="30.0" customHeight="1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ht="30.0" customHeight="1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ht="30.0" customHeight="1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ht="30.0" customHeight="1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ht="30.0" customHeight="1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 ht="30.0" customHeight="1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 ht="30.0" customHeight="1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 ht="30.0" customHeight="1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 ht="30.0" customHeight="1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 ht="30.0" customHeight="1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 ht="30.0" customHeight="1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 ht="30.0" customHeight="1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 ht="30.0" customHeight="1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 ht="30.0" customHeight="1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 ht="30.0" customHeight="1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 ht="30.0" customHeight="1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ht="30.0" customHeight="1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 ht="30.0" customHeight="1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 ht="30.0" customHeight="1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 ht="30.0" customHeight="1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ht="30.0" customHeight="1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ht="30.0" customHeight="1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ht="30.0" customHeight="1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ht="30.0" customHeight="1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ht="30.0" customHeight="1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ht="30.0" customHeight="1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 ht="30.0" customHeight="1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 ht="30.0" customHeight="1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ht="30.0" customHeight="1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 ht="30.0" customHeight="1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ht="30.0" customHeight="1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 ht="30.0" customHeight="1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 ht="30.0" customHeight="1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ht="30.0" customHeight="1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ht="30.0" customHeight="1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ht="30.0" customHeight="1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ht="30.0" customHeight="1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ht="30.0" customHeight="1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ht="30.0" customHeight="1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ht="30.0" customHeight="1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ht="30.0" customHeight="1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ht="30.0" customHeight="1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ht="30.0" customHeight="1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ht="30.0" customHeight="1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ht="30.0" customHeight="1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ht="30.0" customHeight="1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ht="30.0" customHeight="1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ht="30.0" customHeight="1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ht="30.0" customHeight="1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ht="30.0" customHeight="1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ht="30.0" customHeight="1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ht="30.0" customHeight="1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ht="30.0" customHeight="1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ht="30.0" customHeight="1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ht="30.0" customHeight="1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 ht="30.0" customHeight="1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ht="30.0" customHeight="1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ht="30.0" customHeight="1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ht="30.0" customHeight="1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ht="30.0" customHeight="1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ht="30.0" customHeight="1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ht="30.0" customHeight="1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ht="30.0" customHeight="1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 ht="30.0" customHeight="1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 ht="30.0" customHeight="1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ht="30.0" customHeight="1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ht="30.0" customHeight="1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ht="30.0" customHeight="1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ht="30.0" customHeight="1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ht="30.0" customHeight="1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ht="30.0" customHeight="1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ht="30.0" customHeight="1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ht="30.0" customHeight="1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ht="30.0" customHeight="1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ht="30.0" customHeight="1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ht="30.0" customHeight="1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ht="30.0" customHeight="1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ht="30.0" customHeight="1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ht="30.0" customHeight="1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ht="30.0" customHeight="1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ht="30.0" customHeight="1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ht="30.0" customHeight="1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ht="30.0" customHeight="1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ht="30.0" customHeight="1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ht="30.0" customHeight="1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ht="30.0" customHeight="1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ht="30.0" customHeight="1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ht="30.0" customHeight="1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ht="30.0" customHeight="1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ht="30.0" customHeight="1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ht="30.0" customHeight="1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ht="30.0" customHeight="1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ht="30.0" customHeight="1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ht="30.0" customHeight="1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ht="30.0" customHeight="1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ht="30.0" customHeight="1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ht="30.0" customHeight="1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ht="30.0" customHeight="1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ht="30.0" customHeight="1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ht="30.0" customHeight="1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ht="30.0" customHeight="1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ht="30.0" customHeight="1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ht="30.0" customHeight="1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ht="30.0" customHeight="1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ht="30.0" customHeight="1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ht="30.0" customHeight="1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ht="30.0" customHeight="1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ht="30.0" customHeight="1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ht="30.0" customHeight="1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ht="30.0" customHeight="1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ht="30.0" customHeight="1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ht="30.0" customHeight="1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ht="30.0" customHeight="1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ht="30.0" customHeight="1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ht="30.0" customHeight="1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ht="30.0" customHeight="1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ht="30.0" customHeight="1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ht="30.0" customHeight="1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ht="30.0" customHeight="1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ht="30.0" customHeight="1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ht="30.0" customHeight="1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ht="30.0" customHeight="1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ht="30.0" customHeight="1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ht="30.0" customHeight="1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ht="30.0" customHeight="1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ht="30.0" customHeight="1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ht="30.0" customHeight="1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ht="30.0" customHeight="1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ht="30.0" customHeight="1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ht="30.0" customHeight="1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ht="30.0" customHeight="1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ht="30.0" customHeight="1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ht="30.0" customHeight="1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ht="30.0" customHeight="1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ht="30.0" customHeight="1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ht="30.0" customHeight="1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ht="30.0" customHeight="1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ht="30.0" customHeight="1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ht="30.0" customHeight="1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ht="30.0" customHeight="1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ht="30.0" customHeight="1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ht="30.0" customHeight="1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ht="30.0" customHeight="1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ht="30.0" customHeight="1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ht="30.0" customHeight="1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ht="30.0" customHeight="1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ht="30.0" customHeight="1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ht="30.0" customHeight="1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ht="30.0" customHeight="1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ht="30.0" customHeight="1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ht="30.0" customHeight="1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ht="30.0" customHeight="1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ht="30.0" customHeight="1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ht="30.0" customHeight="1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ht="30.0" customHeight="1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ht="30.0" customHeight="1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ht="30.0" customHeight="1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ht="30.0" customHeight="1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ht="30.0" customHeight="1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ht="30.0" customHeight="1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ht="30.0" customHeight="1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ht="30.0" customHeight="1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ht="30.0" customHeight="1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ht="30.0" customHeight="1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ht="30.0" customHeight="1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ht="30.0" customHeight="1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ht="30.0" customHeight="1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 ht="30.0" customHeight="1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ht="30.0" customHeight="1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 ht="30.0" customHeight="1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 ht="30.0" customHeight="1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 ht="30.0" customHeight="1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 ht="30.0" customHeight="1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 ht="30.0" customHeight="1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 ht="30.0" customHeight="1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ht="30.0" customHeight="1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 ht="30.0" customHeight="1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 ht="30.0" customHeight="1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 ht="30.0" customHeight="1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 ht="30.0" customHeight="1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 ht="30.0" customHeight="1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ht="30.0" customHeight="1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ht="30.0" customHeight="1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 ht="30.0" customHeight="1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 ht="30.0" customHeight="1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 ht="30.0" customHeight="1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 ht="30.0" customHeight="1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 ht="30.0" customHeight="1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 ht="30.0" customHeight="1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 ht="30.0" customHeight="1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 ht="30.0" customHeight="1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 ht="30.0" customHeight="1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 ht="30.0" customHeight="1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 ht="30.0" customHeight="1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 ht="30.0" customHeight="1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 ht="30.0" customHeight="1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 ht="30.0" customHeight="1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 ht="30.0" customHeight="1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 ht="30.0" customHeight="1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 ht="30.0" customHeight="1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 ht="30.0" customHeight="1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ht="30.0" customHeight="1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 ht="30.0" customHeight="1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 ht="30.0" customHeight="1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 ht="30.0" customHeight="1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 ht="30.0" customHeight="1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 ht="30.0" customHeight="1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 ht="30.0" customHeight="1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 ht="30.0" customHeight="1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 ht="30.0" customHeight="1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 ht="30.0" customHeight="1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 ht="30.0" customHeight="1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 ht="30.0" customHeight="1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 ht="30.0" customHeight="1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 ht="30.0" customHeight="1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 ht="30.0" customHeight="1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 ht="30.0" customHeight="1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 ht="30.0" customHeight="1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 ht="30.0" customHeight="1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 ht="30.0" customHeight="1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 ht="30.0" customHeight="1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 ht="30.0" customHeight="1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 ht="30.0" customHeight="1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 ht="30.0" customHeight="1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 ht="30.0" customHeight="1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 ht="30.0" customHeight="1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 ht="30.0" customHeight="1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 ht="30.0" customHeight="1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 ht="30.0" customHeight="1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ht="30.0" customHeight="1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ht="30.0" customHeight="1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ht="30.0" customHeight="1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 ht="30.0" customHeight="1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 ht="30.0" customHeight="1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 ht="30.0" customHeight="1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 ht="30.0" customHeight="1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 ht="30.0" customHeight="1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 ht="30.0" customHeight="1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 ht="30.0" customHeight="1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 ht="30.0" customHeight="1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 ht="30.0" customHeight="1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 ht="30.0" customHeight="1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 ht="30.0" customHeight="1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 ht="30.0" customHeight="1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 ht="30.0" customHeight="1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 ht="30.0" customHeight="1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 ht="30.0" customHeight="1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 ht="30.0" customHeight="1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 ht="30.0" customHeight="1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ht="30.0" customHeight="1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 ht="30.0" customHeight="1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 ht="30.0" customHeight="1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ht="30.0" customHeight="1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ht="30.0" customHeight="1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ht="30.0" customHeight="1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 ht="30.0" customHeight="1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ht="30.0" customHeight="1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ht="30.0" customHeight="1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ht="30.0" customHeight="1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 ht="30.0" customHeight="1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 ht="30.0" customHeight="1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 ht="30.0" customHeight="1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 ht="30.0" customHeight="1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 ht="30.0" customHeight="1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ht="30.0" customHeight="1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 ht="30.0" customHeight="1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ht="30.0" customHeight="1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 ht="30.0" customHeight="1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 ht="30.0" customHeight="1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 ht="30.0" customHeight="1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 ht="30.0" customHeight="1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 ht="30.0" customHeight="1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 ht="30.0" customHeight="1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ht="30.0" customHeight="1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 ht="30.0" customHeight="1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 ht="30.0" customHeight="1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 ht="30.0" customHeight="1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 ht="30.0" customHeight="1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 ht="30.0" customHeight="1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 ht="30.0" customHeight="1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 ht="30.0" customHeight="1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 ht="30.0" customHeight="1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 ht="30.0" customHeight="1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 ht="30.0" customHeight="1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 ht="30.0" customHeight="1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 ht="30.0" customHeight="1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 ht="30.0" customHeight="1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 ht="30.0" customHeight="1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 ht="30.0" customHeight="1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 ht="30.0" customHeight="1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 ht="30.0" customHeight="1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 ht="30.0" customHeight="1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 ht="30.0" customHeight="1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 ht="30.0" customHeight="1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 ht="30.0" customHeight="1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 ht="30.0" customHeight="1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 ht="30.0" customHeight="1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 ht="30.0" customHeight="1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 ht="30.0" customHeight="1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 ht="30.0" customHeight="1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 ht="30.0" customHeight="1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 ht="30.0" customHeight="1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 ht="30.0" customHeight="1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 ht="30.0" customHeight="1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 ht="30.0" customHeight="1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 ht="30.0" customHeight="1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 ht="30.0" customHeight="1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 ht="30.0" customHeight="1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 ht="30.0" customHeight="1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 ht="30.0" customHeight="1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 ht="30.0" customHeight="1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 ht="30.0" customHeight="1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 ht="30.0" customHeight="1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 ht="30.0" customHeight="1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 ht="30.0" customHeight="1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 ht="30.0" customHeight="1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 ht="30.0" customHeight="1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 ht="30.0" customHeight="1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 ht="30.0" customHeight="1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 ht="30.0" customHeight="1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 ht="30.0" customHeight="1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 ht="30.0" customHeight="1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 ht="30.0" customHeight="1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 ht="30.0" customHeight="1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 ht="30.0" customHeight="1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 ht="30.0" customHeight="1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 ht="30.0" customHeight="1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 ht="30.0" customHeight="1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 ht="30.0" customHeight="1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 ht="30.0" customHeight="1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 ht="30.0" customHeight="1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 ht="30.0" customHeight="1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 ht="30.0" customHeight="1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 ht="30.0" customHeight="1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 ht="30.0" customHeight="1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 ht="30.0" customHeight="1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 ht="30.0" customHeight="1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 ht="30.0" customHeight="1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 ht="30.0" customHeight="1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 ht="30.0" customHeight="1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 ht="30.0" customHeight="1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 ht="30.0" customHeight="1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 ht="30.0" customHeight="1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 ht="30.0" customHeight="1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 ht="30.0" customHeight="1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 ht="30.0" customHeight="1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 ht="30.0" customHeight="1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 ht="30.0" customHeight="1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 ht="30.0" customHeight="1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 ht="30.0" customHeight="1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 ht="30.0" customHeight="1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 ht="30.0" customHeight="1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 ht="30.0" customHeight="1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 ht="30.0" customHeight="1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 ht="30.0" customHeight="1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 ht="30.0" customHeight="1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 ht="30.0" customHeight="1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 ht="30.0" customHeight="1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 ht="30.0" customHeight="1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 ht="30.0" customHeight="1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 ht="30.0" customHeight="1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 ht="30.0" customHeight="1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 ht="30.0" customHeight="1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 ht="30.0" customHeight="1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 ht="30.0" customHeight="1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 ht="30.0" customHeight="1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 ht="30.0" customHeight="1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 ht="30.0" customHeight="1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 ht="30.0" customHeight="1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 ht="30.0" customHeight="1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 ht="30.0" customHeight="1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 ht="30.0" customHeight="1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 ht="30.0" customHeight="1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 ht="30.0" customHeight="1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 ht="30.0" customHeight="1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 ht="30.0" customHeight="1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 ht="30.0" customHeight="1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 ht="30.0" customHeight="1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 ht="30.0" customHeight="1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 ht="30.0" customHeight="1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 ht="30.0" customHeight="1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 ht="30.0" customHeight="1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 ht="30.0" customHeight="1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 ht="30.0" customHeight="1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 ht="30.0" customHeight="1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 ht="30.0" customHeight="1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 ht="30.0" customHeight="1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 ht="30.0" customHeight="1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 ht="30.0" customHeight="1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 ht="30.0" customHeight="1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 ht="30.0" customHeight="1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 ht="30.0" customHeight="1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 ht="30.0" customHeight="1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 ht="30.0" customHeight="1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 ht="30.0" customHeight="1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 ht="30.0" customHeight="1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 ht="30.0" customHeight="1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 ht="30.0" customHeight="1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 ht="30.0" customHeight="1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 ht="30.0" customHeight="1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 ht="30.0" customHeight="1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 ht="30.0" customHeight="1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 ht="30.0" customHeight="1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 ht="30.0" customHeight="1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 ht="30.0" customHeight="1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 ht="30.0" customHeight="1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 ht="30.0" customHeight="1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 ht="30.0" customHeight="1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 ht="30.0" customHeight="1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 ht="30.0" customHeight="1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 ht="30.0" customHeight="1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 ht="30.0" customHeight="1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 ht="30.0" customHeight="1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 ht="30.0" customHeight="1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 ht="30.0" customHeight="1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 ht="30.0" customHeight="1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 ht="30.0" customHeight="1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 ht="30.0" customHeight="1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 ht="30.0" customHeight="1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 ht="30.0" customHeight="1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 ht="30.0" customHeight="1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 ht="30.0" customHeight="1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 ht="30.0" customHeight="1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 ht="30.0" customHeight="1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 ht="30.0" customHeight="1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 ht="30.0" customHeight="1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 ht="30.0" customHeight="1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 ht="30.0" customHeight="1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 ht="30.0" customHeight="1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 ht="30.0" customHeight="1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 ht="30.0" customHeight="1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 ht="30.0" customHeight="1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 ht="30.0" customHeight="1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 ht="30.0" customHeight="1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 ht="30.0" customHeight="1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 ht="30.0" customHeight="1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 ht="30.0" customHeight="1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 ht="30.0" customHeight="1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 ht="30.0" customHeight="1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 ht="30.0" customHeight="1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 ht="30.0" customHeight="1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 ht="30.0" customHeight="1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 ht="30.0" customHeight="1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 ht="30.0" customHeight="1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 ht="30.0" customHeight="1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 ht="30.0" customHeight="1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 ht="30.0" customHeight="1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 ht="30.0" customHeight="1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 ht="30.0" customHeight="1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 ht="30.0" customHeight="1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 ht="30.0" customHeight="1"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  <row r="1001" ht="30.0" customHeight="1"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</row>
    <row r="1002" ht="30.0" customHeight="1"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</row>
    <row r="1003" ht="30.0" customHeight="1"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</row>
  </sheetData>
  <autoFilter ref="$L$33:$L$34"/>
  <conditionalFormatting sqref="B6:M33">
    <cfRule type="expression" dxfId="3" priority="1">
      <formula>$D6="Not Started"</formula>
    </cfRule>
  </conditionalFormatting>
  <conditionalFormatting sqref="B6:M33">
    <cfRule type="expression" dxfId="4" priority="2">
      <formula>$D6="In Progress"</formula>
    </cfRule>
  </conditionalFormatting>
  <conditionalFormatting sqref="B6:M33">
    <cfRule type="expression" dxfId="5" priority="3">
      <formula>$D6="Delayed"</formula>
    </cfRule>
  </conditionalFormatting>
  <conditionalFormatting sqref="B6:M33">
    <cfRule type="expression" dxfId="6" priority="4">
      <formula>$D6="Complete"</formula>
    </cfRule>
  </conditionalFormatting>
  <conditionalFormatting sqref="B6:M33">
    <cfRule type="expression" dxfId="7" priority="5">
      <formula>$D6="Quote Needed"</formula>
    </cfRule>
  </conditionalFormatting>
  <conditionalFormatting sqref="B6:M33">
    <cfRule type="expression" dxfId="8" priority="6">
      <formula>$D6="Waiting on Quote"</formula>
    </cfRule>
  </conditionalFormatting>
  <conditionalFormatting sqref="B6:M33">
    <cfRule type="expression" dxfId="9" priority="7">
      <formula>$D6="Custom 3"</formula>
    </cfRule>
  </conditionalFormatting>
  <conditionalFormatting sqref="B6:M33">
    <cfRule type="expression" dxfId="10" priority="8">
      <formula>$D6="Custom 4"</formula>
    </cfRule>
  </conditionalFormatting>
  <dataValidations>
    <dataValidation type="list" allowBlank="1" showErrorMessage="1" sqref="D4:D30">
      <formula1>"STATUS,In Progress,Done,Not Started,Waiting on Quote"</formula1>
    </dataValidation>
    <dataValidation type="list" allowBlank="1" showInputMessage="1" prompt="Select Status from the list. Select CANCEL, then press ALT+DOWN ARROW to open the drop-down list, then ENTER to make selection" sqref="E6:E33">
      <formula1>"0%,25%,50%,75%,100%"</formula1>
    </dataValidation>
    <dataValidation type="list" allowBlank="1" showErrorMessage="1" sqref="F4:F30">
      <formula1>"ON,OWNER,Darya Loboda,Cesar Ramirez,Maaz,David Molo"</formula1>
    </dataValidation>
    <dataValidation type="list" allowBlank="1" showErrorMessage="1" sqref="G4:G30">
      <formula1>"ON,ASSIGNED TO,Darya Loboda,Maaz,Cesar Ramirez"</formula1>
    </dataValidation>
    <dataValidation type="list" allowBlank="1" showInputMessage="1" prompt="Select On or Off in this cell to toggle row highlight for the above status. Press ALT+DOWN ARROW to open the drop-down list, then ENTER to make selection" sqref="H4:M4">
      <formula1>"ON,OFF"</formula1>
    </dataValidation>
    <dataValidation type="list" allowBlank="1" showErrorMessage="1" sqref="C6:C33">
      <formula1>'List Data'!$E$4:$E$11</formula1>
    </dataValidation>
  </dataValidations>
  <printOptions horizontalCentered="1"/>
  <pageMargins bottom="0.75" footer="0.0" header="0.0" left="0.25" right="0.25" top="0.75"/>
  <pageSetup fitToHeight="0"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1E24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8.88"/>
    <col customWidth="1" min="3" max="3" width="25.38"/>
    <col customWidth="1" min="4" max="4" width="2.63"/>
    <col customWidth="1" min="5" max="5" width="14.38"/>
    <col customWidth="1" min="6" max="26" width="8.88"/>
  </cols>
  <sheetData>
    <row r="1" ht="47.25" customHeight="1">
      <c r="B1" s="1" t="s">
        <v>2</v>
      </c>
    </row>
    <row r="2" ht="30.0" customHeight="1">
      <c r="B2" s="3" t="s">
        <v>0</v>
      </c>
      <c r="C2" s="7"/>
    </row>
    <row r="3" ht="45.0" customHeight="1">
      <c r="A3" s="25"/>
      <c r="B3" s="33" t="s">
        <v>13</v>
      </c>
      <c r="C3" s="33" t="s">
        <v>28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30.0" customHeight="1">
      <c r="B4" s="42" t="s">
        <v>31</v>
      </c>
      <c r="C4" s="42" t="s">
        <v>33</v>
      </c>
      <c r="E4" s="44" t="s">
        <v>36</v>
      </c>
    </row>
    <row r="5" ht="30.0" customHeight="1">
      <c r="B5" s="42" t="s">
        <v>29</v>
      </c>
      <c r="C5" s="42" t="s">
        <v>37</v>
      </c>
      <c r="E5" s="44" t="s">
        <v>27</v>
      </c>
    </row>
    <row r="6" ht="30.0" customHeight="1">
      <c r="B6" s="42" t="s">
        <v>38</v>
      </c>
      <c r="C6" s="42" t="s">
        <v>39</v>
      </c>
      <c r="E6" s="44" t="s">
        <v>41</v>
      </c>
    </row>
    <row r="7" ht="30.0" customHeight="1">
      <c r="B7" s="46" t="s">
        <v>42</v>
      </c>
      <c r="C7" s="42" t="s">
        <v>27</v>
      </c>
      <c r="E7" s="44" t="s">
        <v>43</v>
      </c>
    </row>
    <row r="8" ht="30.0" customHeight="1">
      <c r="B8" s="42"/>
      <c r="C8" s="42"/>
      <c r="E8" s="47" t="s">
        <v>34</v>
      </c>
    </row>
    <row r="9" ht="30.0" customHeight="1">
      <c r="B9" s="42"/>
      <c r="C9" s="42"/>
    </row>
    <row r="10" ht="30.0" customHeight="1">
      <c r="B10" s="42"/>
      <c r="C10" s="42"/>
    </row>
    <row r="11" ht="30.0" customHeight="1">
      <c r="B11" s="42"/>
      <c r="C11" s="42"/>
    </row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customSheetViews>
    <customSheetView guid="{B5CEB546-EE30-4BC1-B7AC-6AA7592BE2DA}" filter="1" showAutoFilter="1">
      <autoFilter ref="$B$3:$C$11"/>
      <extLst>
        <ext uri="GoogleSheetsCustomDataVersion1">
          <go:sheetsCustomData xmlns:go="http://customooxmlschemas.google.com/" filterViewId="1142320179"/>
        </ext>
      </extLst>
    </customSheetView>
  </customSheetViews>
  <printOptions horizontalCentered="1"/>
  <pageMargins bottom="0.75" footer="0.0" header="0.0" left="0.7" right="0.7" top="0.75"/>
  <pageSetup fitToHeight="0" orientation="portrait"/>
  <headerFooter>
    <oddFooter/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2019-06-15T11:51:25Z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