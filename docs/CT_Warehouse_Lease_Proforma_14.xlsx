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oanaulyte/Library/CloudStorage/GoogleDrive-cesar@clevertranscoshop.com/Shared drives/CT Shop/Phoenix Crossdock Project/"/>
    </mc:Choice>
  </mc:AlternateContent>
  <xr:revisionPtr revIDLastSave="0" documentId="8_{CB807F6A-1D3D-2542-8396-AA573361F9FC}" xr6:coauthVersionLast="36" xr6:coauthVersionMax="36" xr10:uidLastSave="{00000000-0000-0000-0000-000000000000}"/>
  <bookViews>
    <workbookView xWindow="0" yWindow="0" windowWidth="38400" windowHeight="21600" tabRatio="500" xr2:uid="{00000000-000D-0000-FFFF-FFFF00000000}"/>
  </bookViews>
  <sheets>
    <sheet name="Warehouse Proforma" sheetId="1" r:id="rId1"/>
    <sheet name="Pricing Analysis" sheetId="2" r:id="rId2"/>
    <sheet name="Monthly Forecast" sheetId="3" r:id="rId3"/>
  </sheet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H15" i="3" l="1"/>
  <c r="B15" i="3"/>
  <c r="L14" i="3"/>
  <c r="I14" i="3"/>
  <c r="G14" i="3"/>
  <c r="F14" i="3"/>
  <c r="D14" i="3"/>
  <c r="C14" i="3"/>
  <c r="B14" i="3"/>
  <c r="L10" i="3"/>
  <c r="I10" i="3"/>
  <c r="G10" i="3"/>
  <c r="F10" i="3"/>
  <c r="D10" i="3"/>
  <c r="B5" i="2"/>
  <c r="B119" i="1"/>
  <c r="B100" i="1"/>
  <c r="B80" i="1"/>
  <c r="B85" i="1" s="1"/>
  <c r="B86" i="1" s="1"/>
  <c r="B71" i="1"/>
  <c r="B74" i="1" s="1"/>
  <c r="D58" i="1"/>
  <c r="B58" i="1"/>
  <c r="B53" i="1"/>
  <c r="I15" i="3" s="1"/>
  <c r="D40" i="1"/>
  <c r="M10" i="3" s="1"/>
  <c r="B34" i="1"/>
  <c r="B57" i="1" s="1"/>
  <c r="B33" i="1"/>
  <c r="D23" i="1"/>
  <c r="D26" i="1" s="1"/>
  <c r="E58" i="1" s="1"/>
  <c r="D22" i="1"/>
  <c r="D21" i="1"/>
  <c r="D20" i="1"/>
  <c r="B14" i="1"/>
  <c r="B120" i="1" s="1"/>
  <c r="B11" i="1"/>
  <c r="B118" i="1" s="1"/>
  <c r="B8" i="1"/>
  <c r="D24" i="1" s="1"/>
  <c r="B7" i="1"/>
  <c r="M14" i="3" s="1"/>
  <c r="B7" i="2" l="1"/>
  <c r="J15" i="3"/>
  <c r="B99" i="1"/>
  <c r="B75" i="1"/>
  <c r="B102" i="1"/>
  <c r="B103" i="1" s="1"/>
  <c r="B22" i="3"/>
  <c r="B59" i="1"/>
  <c r="B60" i="1" s="1"/>
  <c r="B66" i="1"/>
  <c r="H10" i="3"/>
  <c r="H14" i="3"/>
  <c r="D15" i="3"/>
  <c r="L15" i="3"/>
  <c r="C15" i="3"/>
  <c r="C59" i="1"/>
  <c r="E15" i="3"/>
  <c r="D59" i="1"/>
  <c r="B10" i="3"/>
  <c r="J10" i="3"/>
  <c r="J14" i="3"/>
  <c r="F15" i="3"/>
  <c r="D25" i="1"/>
  <c r="K15" i="3"/>
  <c r="M15" i="3"/>
  <c r="E59" i="1"/>
  <c r="B6" i="2"/>
  <c r="B8" i="2" s="1"/>
  <c r="C10" i="3"/>
  <c r="K10" i="3"/>
  <c r="K14" i="3"/>
  <c r="G15" i="3"/>
  <c r="C58" i="1"/>
  <c r="B101" i="1"/>
  <c r="E10" i="3"/>
  <c r="E14" i="3"/>
  <c r="B21" i="3" s="1"/>
  <c r="B62" i="1" l="1"/>
  <c r="B61" i="1"/>
  <c r="B19" i="2"/>
  <c r="F14" i="2"/>
  <c r="F19" i="2"/>
  <c r="D19" i="2"/>
  <c r="G14" i="2"/>
  <c r="E14" i="2"/>
  <c r="D14" i="2"/>
  <c r="B9" i="2"/>
  <c r="C19" i="2"/>
  <c r="E19" i="2"/>
  <c r="C14" i="2"/>
  <c r="B14" i="2"/>
  <c r="B95" i="1"/>
  <c r="B94" i="1"/>
  <c r="D41" i="1"/>
  <c r="D44" i="1" s="1"/>
  <c r="B107" i="1"/>
  <c r="B88" i="1"/>
  <c r="B87" i="1"/>
  <c r="B110" i="1" l="1"/>
  <c r="B108" i="1"/>
  <c r="D57" i="1"/>
  <c r="D60" i="1" s="1"/>
  <c r="D45" i="1"/>
  <c r="C57" i="1" s="1"/>
  <c r="C60" i="1" s="1"/>
  <c r="I11" i="3"/>
  <c r="I12" i="3" s="1"/>
  <c r="I13" i="3" s="1"/>
  <c r="I16" i="3" s="1"/>
  <c r="G11" i="3"/>
  <c r="G12" i="3" s="1"/>
  <c r="G13" i="3" s="1"/>
  <c r="G16" i="3" s="1"/>
  <c r="B41" i="1"/>
  <c r="J11" i="3"/>
  <c r="J12" i="3" s="1"/>
  <c r="J13" i="3" s="1"/>
  <c r="J16" i="3" s="1"/>
  <c r="H11" i="3"/>
  <c r="H12" i="3" s="1"/>
  <c r="H13" i="3" s="1"/>
  <c r="H16" i="3" s="1"/>
  <c r="F11" i="3"/>
  <c r="F12" i="3" s="1"/>
  <c r="F13" i="3" s="1"/>
  <c r="F16" i="3" s="1"/>
  <c r="M11" i="3"/>
  <c r="M12" i="3" s="1"/>
  <c r="M13" i="3" s="1"/>
  <c r="M16" i="3" s="1"/>
  <c r="E11" i="3"/>
  <c r="E12" i="3" s="1"/>
  <c r="E13" i="3" s="1"/>
  <c r="E16" i="3" s="1"/>
  <c r="K11" i="3"/>
  <c r="K12" i="3" s="1"/>
  <c r="K13" i="3" s="1"/>
  <c r="K16" i="3" s="1"/>
  <c r="C11" i="3"/>
  <c r="C12" i="3" s="1"/>
  <c r="C13" i="3" s="1"/>
  <c r="C16" i="3" s="1"/>
  <c r="B11" i="3"/>
  <c r="B12" i="3" s="1"/>
  <c r="B13" i="3" s="1"/>
  <c r="L11" i="3"/>
  <c r="L12" i="3" s="1"/>
  <c r="L13" i="3" s="1"/>
  <c r="L16" i="3" s="1"/>
  <c r="D11" i="3"/>
  <c r="D12" i="3" s="1"/>
  <c r="D13" i="3" s="1"/>
  <c r="D16" i="3" s="1"/>
  <c r="B20" i="3" l="1"/>
  <c r="E57" i="1" s="1"/>
  <c r="E60" i="1" s="1"/>
  <c r="B16" i="3"/>
  <c r="C62" i="1"/>
  <c r="C61" i="1"/>
  <c r="D62" i="1"/>
  <c r="D61" i="1"/>
  <c r="C114" i="1"/>
  <c r="C113" i="1"/>
  <c r="D114" i="1"/>
  <c r="D113" i="1"/>
  <c r="B23" i="3" l="1"/>
  <c r="B17" i="3"/>
  <c r="C17" i="3" s="1"/>
  <c r="D17" i="3" s="1"/>
  <c r="E17" i="3" s="1"/>
  <c r="F17" i="3" s="1"/>
  <c r="G17" i="3" s="1"/>
  <c r="H17" i="3" s="1"/>
  <c r="I17" i="3" s="1"/>
  <c r="J17" i="3" s="1"/>
  <c r="K17" i="3" s="1"/>
  <c r="L17" i="3" s="1"/>
  <c r="M17" i="3" s="1"/>
  <c r="E61" i="1"/>
  <c r="E62" i="1"/>
</calcChain>
</file>

<file path=xl/sharedStrings.xml><?xml version="1.0" encoding="utf-8"?>
<sst xmlns="http://schemas.openxmlformats.org/spreadsheetml/2006/main" count="173" uniqueCount="168">
  <si>
    <t>CT Truck and Trailer Shop LLC — Warehouse Lease Proforma</t>
  </si>
  <si>
    <t>Prepared for ownership review — August 27, 2026</t>
  </si>
  <si>
    <t>1. LEASE ASSUMPTIONS (WHAT WE'RE COMMITTING TO)</t>
  </si>
  <si>
    <t>Total leased space (SF)</t>
  </si>
  <si>
    <t>Lease rate ($/SF/month)</t>
  </si>
  <si>
    <t>Monthly lease cost</t>
  </si>
  <si>
    <t>Annual lease cost</t>
  </si>
  <si>
    <t>Suite 5 at 3550 W Clarendon Ave (Thomas Industrial Plaza), 5,700 SF per the confirmed listing, $0.89/SF/mo Modified Gross.</t>
  </si>
  <si>
    <t>Additional SF from racking (0 until racking is installed)</t>
  </si>
  <si>
    <t>Total available capacity (leased floor + racking)</t>
  </si>
  <si>
    <t>Racking adds usable capacity, not leased footprint, so lease cost above is unaffected. Set to 0 until racking is installed; once installed, perimeter racking at 3 levels (4'-deep rows on 3 walls, ~925 SF racked footprint) adds an estimated ~1,850 SF effective capacity.</t>
  </si>
  <si>
    <t>Assumed occupancy — realistic ramp across all space (not just SBA)</t>
  </si>
  <si>
    <t>Usable SF at assumed occupancy</t>
  </si>
  <si>
    <t>Occupancy applies only to the base leased SF (e.g. at 75% of 5,700 SF, 4,275 SF is assumed occupied). Racking-added SF is included at full value, not discounted — racking is capacity you're building specifically to use, not floor space assumed to sit partly vacant. SBA's contracted allocation is drawn from this combined pool in Section 3.</t>
  </si>
  <si>
    <t>2. YEAR 1 LEASE PAYMENT RAMP (FREE RENT / ABATEMENT CONCESSION)</t>
  </si>
  <si>
    <t>Concession being negotiated: months 1-3 free, months 4-8 at half rate, month 9 onward at full rate. Applies to Year 1 only — Year 2+ reverts to the full monthly lease cost from Section 1.</t>
  </si>
  <si>
    <t>Rent Factor</t>
  </si>
  <si>
    <t>Months</t>
  </si>
  <si>
    <t>Payment (period)</t>
  </si>
  <si>
    <t>Months 1-3 (free rent)</t>
  </si>
  <si>
    <t>Months 4-8 (half rate)</t>
  </si>
  <si>
    <t>Months 9-12 (full rate)</t>
  </si>
  <si>
    <t>Total Year 1 lease cost (with concession)</t>
  </si>
  <si>
    <t>Reference: full-rate annual lease cost (no concession, Year 2+)</t>
  </si>
  <si>
    <t>Year 1 savings from concession</t>
  </si>
  <si>
    <t>Effective average monthly lease cost — Year 1</t>
  </si>
  <si>
    <t>This average smooths the ramp across 12 months for margin comparison in Section 6 — actual monthly cash outlay is $0 in months 1-3, half in months 4-6, full from month 7 on, not this flat average.</t>
  </si>
  <si>
    <t>3. CURRENT (BRIDGE) REVENUE — SBA PALLET AGREEMENT</t>
  </si>
  <si>
    <t>Signed agreement, per-pallet/day rate; reflects short-notice accommodation, not the target ongoing model.</t>
  </si>
  <si>
    <t>Pallets currently on site</t>
  </si>
  <si>
    <t>Rate per pallet per day</t>
  </si>
  <si>
    <t>Bridge revenue per day</t>
  </si>
  <si>
    <t>Bridge revenue per month (x30 days)</t>
  </si>
  <si>
    <t>Note: this rate is fixed only for these 24 pallets while they remain on site — treat as temporary, not a repeatable revenue base.</t>
  </si>
  <si>
    <t>4. TARGET STEADY-STATE REVENUE (ONCE SQUARE-FOOT AGREEMENTS ARE IN PLACE)</t>
  </si>
  <si>
    <t>SBA's allocation and the remaining space below are both drawn from the usable SF at occupancy (Section 1) — not the raw leased SF.</t>
  </si>
  <si>
    <t>SF Allocated</t>
  </si>
  <si>
    <t>Rate ($/SF/mo)</t>
  </si>
  <si>
    <t>Monthly Revenue</t>
  </si>
  <si>
    <t>SBA — climate-controlled, secured space (contracted)</t>
  </si>
  <si>
    <t>Ad hoc cross-dock revenue (Phoenix Cross Dock, from Section 8 model)</t>
  </si>
  <si>
    <t>B41 shows the implied pallets/month from Section 8 needed to hit this revenue — not a SF-based calculation. This replaces the old placeholder that assumed a hypothetical second SF-lease tenant.</t>
  </si>
  <si>
    <t>Revenue is sourced entirely from Section 8's real published fee-schedule rates ($25/pallet cross-dock, dwell fees) applied against David's 30% SBA / 70% ad hoc revenue split assumption — not a generic market-rate guess.</t>
  </si>
  <si>
    <t>Realistic steady-state revenue (SBA + remaining, at occupancy)</t>
  </si>
  <si>
    <t>Reference: full-capacity scenario not separately modeled under the ad hoc approach — see Section 8/9 for pallet-volume sensitivity</t>
  </si>
  <si>
    <t>5. ESTIMATED OPERATING EXPENSES (BEYOND LEASE)</t>
  </si>
  <si>
    <t>Placeholder estimates — not yet quoted. Replace with real numbers before finalizing.</t>
  </si>
  <si>
    <t>Property/goods-in-care insurance (monthly est.)</t>
  </si>
  <si>
    <t>Utilities (monthly est.)</t>
  </si>
  <si>
    <t>Security/surveillance system (monthly est.)</t>
  </si>
  <si>
    <t>Labor / admin overhead allocation (monthly est.)</t>
  </si>
  <si>
    <t>Total monthly operating expenses (excl. lease)</t>
  </si>
  <si>
    <t>6. NET MARGIN SUMMARY</t>
  </si>
  <si>
    <t>Bridge (Current)</t>
  </si>
  <si>
    <t>Steady-State (Full)</t>
  </si>
  <si>
    <t>Steady-State (Adj. Occ.)</t>
  </si>
  <si>
    <t>Year 1 (w/ Lease Ramp)</t>
  </si>
  <si>
    <t>Monthly revenue</t>
  </si>
  <si>
    <t>Less: monthly lease cost</t>
  </si>
  <si>
    <t>Less: monthly operating expenses</t>
  </si>
  <si>
    <t>Net monthly margin</t>
  </si>
  <si>
    <t>Net annual margin (x12)</t>
  </si>
  <si>
    <t>Margin as % of revenue</t>
  </si>
  <si>
    <t>"Year 1 (w/ Lease Ramp)" now pulls its monthly average directly from the Monthly Forecast tab, which ramps remaining-space revenue up to the occupancy target over 9 months rather than assuming it's full from day 1 — so this column reflects a realistic lease-up, not just the lease concession alone.</t>
  </si>
  <si>
    <t>7. BREAKEVEN</t>
  </si>
  <si>
    <t>% of Section 8 ad hoc revenue needed to cover any shortfall after SBA</t>
  </si>
  <si>
    <t>If this shows 0%, SBA alone already covers the full lease + operating costs — all Section 8 ad hoc revenue is pure margin on top, not needed to break even.</t>
  </si>
  <si>
    <t>8. PHOENIX CROSS DOCK — AD HOC REVENUE MODEL (SEPARATE BUSINESS FROM SBA CONTRACT)</t>
  </si>
  <si>
    <t>Phoenix Cross Dock is a separate ad hoc/walk-in service business (phoenix-crossdock.com) using its own published rate sheet — distinct from the signed SBA contract, which has its own negotiated terms. Models what David's assumed revenue mix implies in practice: if SBA's contracted revenue is only 30% of total, what does the other 70% (Phoenix Cross Dock ad hoc volume) need to look like in actual pallets/loads moved?</t>
  </si>
  <si>
    <t>SBA contract (locked-in) monthly revenue — from Section 4</t>
  </si>
  <si>
    <t>Uses only SBA's signed 2,500 SF allocation — the one revenue source that doesn't compete with Phoenix Cross Dock for floor space. The "remaining space" lease revenue in Section 4 ($1.45/SF customers) is deliberately excluded here, since Section 9 shows that space is needed for cross-dock staging instead — counting both would double-book the same square footage.</t>
  </si>
  <si>
    <t>Assumed SBA share of total revenue (David's estimate)</t>
  </si>
  <si>
    <t>Implied total monthly revenue (SBA ÷ share)</t>
  </si>
  <si>
    <t>Implied Phoenix Cross Dock revenue needed (remaining 70%)</t>
  </si>
  <si>
    <t>PHOENIX CROSS DOCK PUBLISHED RATES (per phoenix-crossdock.com DRAFT fee schedule)</t>
  </si>
  <si>
    <t>Per-pallet cross-dock rate (dry)</t>
  </si>
  <si>
    <t>Free dwell period (hours) before storage charge starts</t>
  </si>
  <si>
    <t>Free dwell period (days, converted)</t>
  </si>
  <si>
    <t>Dwell rate per pallet per day (after free period)</t>
  </si>
  <si>
    <t>Phoenix Cross Dock's published range is $8-12/pallet/day after 48h free — $10 used as the working midpoint. SBA's contract now defers to these same standard rates for any volume beyond their dedicated 2,500 SF, so there's no separate custom SBA overflow rate to reconcile — overflow is simply standard Phoenix Cross Dock business.</t>
  </si>
  <si>
    <t>Assumed average dwell per pallet across the mix (days)</t>
  </si>
  <si>
    <t>Some pallets move same-day, some sit up to ~7 days — this is a blended average across that mix, not a single scenario. Adjust based on actual customer behavior once observed.</t>
  </si>
  <si>
    <t>Average billable dwell days (avg dwell minus free period)</t>
  </si>
  <si>
    <t>Average revenue per pallet (handling + dwell)</t>
  </si>
  <si>
    <t>Implied pallets needed / month</t>
  </si>
  <si>
    <t>Implied pallets needed / week</t>
  </si>
  <si>
    <t>Example at these rates: a pallet dwelling 7 days = $25 handling + (7-2) × $10 dwell = $75 total. A pallet within the 48h free window = $25 flat.</t>
  </si>
  <si>
    <t>PER-TRAILER RATE (Phoenix Cross Dock published range)</t>
  </si>
  <si>
    <t>Per-trailer simple transfer rate</t>
  </si>
  <si>
    <t>Uses Phoenix Cross Dock's own published $350-500/trailer range ($425 midpoint) for messy/mixed loads, rather than deriving from the per-pallet rate — this is their actual quoted price for this service type.</t>
  </si>
  <si>
    <t>Implied loads needed / month</t>
  </si>
  <si>
    <t>Implied loads needed / week</t>
  </si>
  <si>
    <t>Reality check: this listing has 1 dock-high door + 2 roll-up doors. Compare implied loads/week and pallets/week above against realistic door throughput and available labor before treating this split as achievable.</t>
  </si>
  <si>
    <t>Implied blended net margin at this mix:</t>
  </si>
  <si>
    <t>Implied total monthly revenue</t>
  </si>
  <si>
    <t>Net monthly margin at implied mix</t>
  </si>
  <si>
    <t>Net annual margin at implied mix (x12)</t>
  </si>
  <si>
    <t>9. STAGING SF REQUIRED FOR THIS AD HOC VOLUME (LITTLE'S LAW)</t>
  </si>
  <si>
    <t>Pallets don't just pass through — some sit for days, so space needed depends on volume AND dwell time together, not volume alone. Avg pallets on floor at once = daily inflow × average dwell days (Little's Law).</t>
  </si>
  <si>
    <t>Implied pallets needed / day (from Section 8 monthly ÷ 30)</t>
  </si>
  <si>
    <t>Average pallets on floor at once (daily inflow × avg dwell)</t>
  </si>
  <si>
    <t>Max dwell scenario (days) — worst case if flow held at max dwell</t>
  </si>
  <si>
    <t>Peak pallets on floor at once (daily inflow × max dwell)</t>
  </si>
  <si>
    <t>SF / pallet</t>
  </si>
  <si>
    <t>SF needed (avg)</t>
  </si>
  <si>
    <t>SF needed (peak)</t>
  </si>
  <si>
    <t>Dense floor-stacked staging (tight aisles)</t>
  </si>
  <si>
    <t>Standard staging (forklift aisles, realistic ops)</t>
  </si>
  <si>
    <t>Based on standard 48x40 pallet footprint (~13.3 SF) plus aisle/circulation allowance — 15 SF/pallet is tight/efficient, 25 SF/pallet reflects realistic forklift aisle and staging-lane requirements.</t>
  </si>
  <si>
    <t>Compare against available space:</t>
  </si>
  <si>
    <t>Total leased+racked capacity (Section 1)</t>
  </si>
  <si>
    <t>SBA's contracted allocation (fixed, Section 4)</t>
  </si>
  <si>
    <t>Remaining physical SF available for ad hoc staging (after SBA)</t>
  </si>
  <si>
    <t>If peak staging SF (standard density) exceeds the remaining space above, the ad hoc cross-dock volume and the SF-lease customer revenue in Section 4 are competing for the same floor space — they can't both be counted as separate revenue on the same square footage.</t>
  </si>
  <si>
    <t>What to Charge Customers Like SBA — Pricing Analysis</t>
  </si>
  <si>
    <t>Same warehouse cost basis as the Warehouse Proforma tab.</t>
  </si>
  <si>
    <t>1. COST BASIS</t>
  </si>
  <si>
    <t>Monthly operating expenses</t>
  </si>
  <si>
    <t>Total monthly cost (lease + opex)</t>
  </si>
  <si>
    <t>Cost per SF per month, if 100% occupied</t>
  </si>
  <si>
    <t>2. BREAKEVEN PRICE ($/SF/MONTH) BY HOW MUCH SPACE IS ACTUALLY RENTED</t>
  </si>
  <si>
    <t>You pay the full lease regardless of fill rate, so the price needed to break even rises as occupancy drops.</t>
  </si>
  <si>
    <t>Occupancy of leased space</t>
  </si>
  <si>
    <t>Breakeven price needed ($/SF/mo)</t>
  </si>
  <si>
    <t>3. PRICE NEEDED TO HIT A TARGET MARGIN (AT A GIVEN OCCUPANCY)</t>
  </si>
  <si>
    <t>Target occupancy assumption</t>
  </si>
  <si>
    <t>Target margin %</t>
  </si>
  <si>
    <t>Required price ($/SF/mo)</t>
  </si>
  <si>
    <t>4. MARKET REFERENCE POINTS</t>
  </si>
  <si>
    <t>Standard dry warehouse storage (general market)</t>
  </si>
  <si>
    <t>$1.25 – $1.75 / SF / mo</t>
  </si>
  <si>
    <t>Climate-controlled storage (general market)</t>
  </si>
  <si>
    <t>roughly $1.25 above standard, wide range</t>
  </si>
  <si>
    <t>5. WHAT THIS MEANS FOR PRICING</t>
  </si>
  <si>
    <t>At 75% occupancy, breakeven is the value in Section 2 above the 70-80% columns. A price of $1.25–$1.75/SF sits well above breakeven even at 50-60% fill — the real driver of profit here is occupancy, not the last few cents of rate. Premium customers (climate control, security, convenience — like SBA) can reasonably be priced meaningfully above that base, as SBA's own discussion suggests.</t>
  </si>
  <si>
    <t>Year 1 Monthly Revenue &amp; Margin Forecast</t>
  </si>
  <si>
    <t>SBA at full contracted rate from Month 1. Remaining space ramps toward the 75% occupancy target by Month 9 via active marketing.</t>
  </si>
  <si>
    <t>1. LEASE-UP ASSUMPTIONS</t>
  </si>
  <si>
    <t>Months to reach target occupancy (ramp length)</t>
  </si>
  <si>
    <t>Based on Phoenix small-bay industrial market conditions (Q1 2026): small-bay/flex space under 100,000 SF is running just 4-6% vacancy metro-wide — roughly a third of the big-box vacancy rate — with rents up ~5-6% YoY, indicating strong absorption for space this size. A 9-month lease-up to 75% occupancy is a reasonable, moderately conservative target in this environment with active marketing; adjust if your broker/marketing partner gives a different read.</t>
  </si>
  <si>
    <t>2. MONTHLY FORECAST</t>
  </si>
  <si>
    <t>Month 1</t>
  </si>
  <si>
    <t>Month 2</t>
  </si>
  <si>
    <t>Month 3</t>
  </si>
  <si>
    <t>Month 4</t>
  </si>
  <si>
    <t>Month 5</t>
  </si>
  <si>
    <t>Month 6</t>
  </si>
  <si>
    <t>Month 7</t>
  </si>
  <si>
    <t>Month 8</t>
  </si>
  <si>
    <t>Month 9</t>
  </si>
  <si>
    <t>Month 10</t>
  </si>
  <si>
    <t>Month 11</t>
  </si>
  <si>
    <t>Month 12</t>
  </si>
  <si>
    <t>SBA revenue (contracted, from Month 1)</t>
  </si>
  <si>
    <t>Ad hoc cross-dock pallets (ramping toward Section 8 target)</t>
  </si>
  <si>
    <t>Ad hoc cross-dock revenue (Section 8 rate: handling + dwell)</t>
  </si>
  <si>
    <t>Total monthly revenue</t>
  </si>
  <si>
    <t>Lease cost (per Year 1 ramp)</t>
  </si>
  <si>
    <t>Operating expenses</t>
  </si>
  <si>
    <t>Cumulative net margin</t>
  </si>
  <si>
    <t>3. YEAR 1 TOTALS (FROM MONTHLY FORECAST)</t>
  </si>
  <si>
    <t>Total Year 1 revenue</t>
  </si>
  <si>
    <t>Total Year 1 lease cost</t>
  </si>
  <si>
    <t>Total Year 1 operating expenses</t>
  </si>
  <si>
    <t>Total Year 1 net margin</t>
  </si>
  <si>
    <t>Change the ramp length in Section 1, or edit assumptions on the Warehouse Proforma tab (SBA rate, remaining-space rate, occupancy target, lease ramp factors) — everything here recalculates automatically.</t>
  </si>
  <si>
    <t>SBA rate under discussion (surveillance + adjacent access)</t>
  </si>
  <si>
    <t>$3.28/SF is a premium over general market comps — justified by surveillance, and proximity, but worth having ready to explain if a customer benchmarks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</si>
</sst>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quot;#,##0.00\);\-"/>
    <numFmt numFmtId="165" formatCode="\$#,##0;&quot;($&quot;#,##0\);\-"/>
    <numFmt numFmtId="166" formatCode="0.0%"/>
    <numFmt numFmtId="167" formatCode="#,##0.0"/>
  </numFmts>
  <fonts count="9" x14ac:knownFonts="1">
    <font>
      <sz val="11"/>
      <color theme="1"/>
      <name val="Calibri"/>
      <family val="2"/>
      <charset val="1"/>
    </font>
    <font>
      <sz val="10"/>
      <name val="Arial"/>
      <family val="2"/>
    </font>
    <font>
      <b/>
      <sz val="16"/>
      <color rgb="FF1F3864"/>
      <name val="Arial"/>
      <family val="2"/>
    </font>
    <font>
      <i/>
      <sz val="9"/>
      <color rgb="FF666666"/>
      <name val="Arial"/>
      <family val="2"/>
    </font>
    <font>
      <b/>
      <sz val="12"/>
      <color rgb="FFFFFFFF"/>
      <name val="Arial"/>
      <family val="2"/>
    </font>
    <font>
      <sz val="10"/>
      <name val="Arial"/>
      <family val="2"/>
    </font>
    <font>
      <sz val="10"/>
      <color rgb="FF0000FF"/>
      <name val="Arial"/>
      <family val="2"/>
    </font>
    <font>
      <b/>
      <sz val="10"/>
      <name val="Arial"/>
      <family val="2"/>
    </font>
    <font>
      <sz val="10"/>
      <color rgb="FF000000"/>
      <name val="Arial"/>
      <family val="2"/>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4" fillId="2" borderId="0" xfId="0" applyFont="1" applyFill="1" applyBorder="1" applyAlignment="1">
      <alignment horizontal="left" vertical="center" indent="1"/>
    </xf>
    <xf numFmtId="0" fontId="3" fillId="0" borderId="0" xfId="0" applyFont="1" applyBorder="1" applyAlignment="1"/>
    <xf numFmtId="0" fontId="2" fillId="0" borderId="0" xfId="0" applyFont="1" applyBorder="1" applyAlignment="1"/>
    <xf numFmtId="0" fontId="0" fillId="0" borderId="0" xfId="0" applyAlignment="1"/>
    <xf numFmtId="0" fontId="5" fillId="0" borderId="0" xfId="0" applyFont="1" applyAlignment="1"/>
    <xf numFmtId="3" fontId="6" fillId="3" borderId="1" xfId="0" applyNumberFormat="1" applyFont="1" applyFill="1" applyBorder="1" applyAlignment="1"/>
    <xf numFmtId="164" fontId="6" fillId="3" borderId="1" xfId="0" applyNumberFormat="1" applyFont="1" applyFill="1" applyBorder="1" applyAlignment="1"/>
    <xf numFmtId="0" fontId="7" fillId="0" borderId="0" xfId="0" applyFont="1" applyAlignment="1"/>
    <xf numFmtId="165" fontId="8" fillId="0" borderId="1" xfId="0" applyNumberFormat="1" applyFont="1" applyBorder="1" applyAlignment="1"/>
    <xf numFmtId="3" fontId="8" fillId="0" borderId="1" xfId="0" applyNumberFormat="1" applyFont="1" applyBorder="1" applyAlignment="1"/>
    <xf numFmtId="166" fontId="6" fillId="3" borderId="1" xfId="0" applyNumberFormat="1" applyFont="1" applyFill="1" applyBorder="1" applyAlignment="1"/>
    <xf numFmtId="165" fontId="8" fillId="4" borderId="1" xfId="0" applyNumberFormat="1" applyFont="1" applyFill="1" applyBorder="1" applyAlignment="1"/>
    <xf numFmtId="165" fontId="6" fillId="3" borderId="1" xfId="0" applyNumberFormat="1" applyFont="1" applyFill="1" applyBorder="1" applyAlignment="1"/>
    <xf numFmtId="166" fontId="8" fillId="0" borderId="1" xfId="0" applyNumberFormat="1" applyFont="1" applyBorder="1" applyAlignment="1"/>
    <xf numFmtId="166" fontId="8" fillId="4" borderId="1" xfId="0" applyNumberFormat="1" applyFont="1" applyFill="1" applyBorder="1" applyAlignment="1"/>
    <xf numFmtId="167" fontId="8" fillId="0" borderId="1" xfId="0" applyNumberFormat="1" applyFont="1" applyBorder="1" applyAlignment="1"/>
    <xf numFmtId="164" fontId="8" fillId="4" borderId="1" xfId="0" applyNumberFormat="1" applyFont="1" applyFill="1" applyBorder="1" applyAlignment="1"/>
    <xf numFmtId="3" fontId="8" fillId="4" borderId="1" xfId="0" applyNumberFormat="1" applyFont="1" applyFill="1" applyBorder="1" applyAlignment="1"/>
    <xf numFmtId="0" fontId="7" fillId="4" borderId="0" xfId="0" applyFont="1" applyFill="1" applyAlignment="1"/>
    <xf numFmtId="166" fontId="7" fillId="4" borderId="1" xfId="0" applyNumberFormat="1" applyFont="1" applyFill="1" applyBorder="1" applyAlignment="1"/>
    <xf numFmtId="0" fontId="8" fillId="0" borderId="1" xfId="0" applyFont="1" applyBorder="1" applyAlignment="1"/>
    <xf numFmtId="0" fontId="7" fillId="0" borderId="1" xfId="0" applyFont="1" applyBorder="1" applyAlignment="1"/>
    <xf numFmtId="0" fontId="1"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1"/>
  <sheetViews>
    <sheetView tabSelected="1" zoomScale="150" zoomScaleNormal="150" workbookViewId="0">
      <selection activeCell="A18" sqref="A18:F18"/>
    </sheetView>
  </sheetViews>
  <sheetFormatPr baseColWidth="10" defaultColWidth="8.6640625" defaultRowHeight="15" x14ac:dyDescent="0.2"/>
  <cols>
    <col min="1" max="1" width="55.83203125" style="4" customWidth="1"/>
    <col min="2" max="5" width="16" style="4" customWidth="1"/>
    <col min="6" max="6" width="30" style="4" customWidth="1"/>
  </cols>
  <sheetData>
    <row r="1" spans="1:6" ht="19.5" customHeight="1" x14ac:dyDescent="0.2">
      <c r="A1" s="3" t="s">
        <v>0</v>
      </c>
      <c r="B1" s="3"/>
      <c r="C1" s="3"/>
      <c r="D1" s="3"/>
      <c r="E1" s="3"/>
      <c r="F1" s="3"/>
    </row>
    <row r="2" spans="1:6" ht="15" customHeight="1" x14ac:dyDescent="0.2">
      <c r="A2" s="2" t="s">
        <v>1</v>
      </c>
      <c r="B2" s="2"/>
      <c r="C2" s="2"/>
      <c r="D2" s="2"/>
      <c r="E2" s="2"/>
      <c r="F2" s="2"/>
    </row>
    <row r="4" spans="1:6" ht="19.5" customHeight="1" x14ac:dyDescent="0.2">
      <c r="A4" s="1" t="s">
        <v>2</v>
      </c>
      <c r="B4" s="1"/>
      <c r="C4" s="1"/>
      <c r="D4" s="1"/>
      <c r="E4" s="1"/>
      <c r="F4" s="1"/>
    </row>
    <row r="5" spans="1:6" ht="15" customHeight="1" x14ac:dyDescent="0.2">
      <c r="A5" s="5" t="s">
        <v>3</v>
      </c>
      <c r="B5" s="6">
        <v>5700</v>
      </c>
    </row>
    <row r="6" spans="1:6" ht="15" customHeight="1" x14ac:dyDescent="0.2">
      <c r="A6" s="5" t="s">
        <v>4</v>
      </c>
      <c r="B6" s="7">
        <v>0.89</v>
      </c>
    </row>
    <row r="7" spans="1:6" ht="15" customHeight="1" x14ac:dyDescent="0.2">
      <c r="A7" s="8" t="s">
        <v>5</v>
      </c>
      <c r="B7" s="9">
        <f>$B$5*$B$6</f>
        <v>5073</v>
      </c>
    </row>
    <row r="8" spans="1:6" ht="15" customHeight="1" x14ac:dyDescent="0.2">
      <c r="A8" s="8" t="s">
        <v>6</v>
      </c>
      <c r="B8" s="9">
        <f>$B$7*12</f>
        <v>60876</v>
      </c>
    </row>
    <row r="9" spans="1:6" ht="15" customHeight="1" x14ac:dyDescent="0.2">
      <c r="A9" s="2" t="s">
        <v>7</v>
      </c>
      <c r="B9" s="2"/>
      <c r="C9" s="2"/>
      <c r="D9" s="2"/>
      <c r="E9" s="2"/>
      <c r="F9" s="2"/>
    </row>
    <row r="10" spans="1:6" ht="15" customHeight="1" x14ac:dyDescent="0.2">
      <c r="A10" s="5" t="s">
        <v>8</v>
      </c>
      <c r="B10" s="6">
        <v>0</v>
      </c>
    </row>
    <row r="11" spans="1:6" ht="15" customHeight="1" x14ac:dyDescent="0.2">
      <c r="A11" s="8" t="s">
        <v>9</v>
      </c>
      <c r="B11" s="10">
        <f>$B$5+$B$10</f>
        <v>5700</v>
      </c>
    </row>
    <row r="12" spans="1:6" ht="15" customHeight="1" x14ac:dyDescent="0.2">
      <c r="A12" s="2" t="s">
        <v>10</v>
      </c>
      <c r="B12" s="2"/>
      <c r="C12" s="2"/>
      <c r="D12" s="2"/>
      <c r="E12" s="2"/>
      <c r="F12" s="2"/>
    </row>
    <row r="13" spans="1:6" ht="15" customHeight="1" x14ac:dyDescent="0.2">
      <c r="A13" s="5" t="s">
        <v>11</v>
      </c>
      <c r="B13" s="11">
        <v>0.75</v>
      </c>
    </row>
    <row r="14" spans="1:6" ht="15" customHeight="1" x14ac:dyDescent="0.2">
      <c r="A14" s="8" t="s">
        <v>12</v>
      </c>
      <c r="B14" s="10">
        <f>($B$5*$B$13)+$B$10</f>
        <v>4275</v>
      </c>
    </row>
    <row r="15" spans="1:6" ht="15" customHeight="1" x14ac:dyDescent="0.2">
      <c r="A15" s="2" t="s">
        <v>13</v>
      </c>
      <c r="B15" s="2"/>
      <c r="C15" s="2"/>
      <c r="D15" s="2"/>
      <c r="E15" s="2"/>
      <c r="F15" s="2"/>
    </row>
    <row r="17" spans="1:6" ht="19.5" customHeight="1" x14ac:dyDescent="0.2">
      <c r="A17" s="1" t="s">
        <v>14</v>
      </c>
      <c r="B17" s="1"/>
      <c r="C17" s="1"/>
      <c r="D17" s="1"/>
      <c r="E17" s="1"/>
      <c r="F17" s="1"/>
    </row>
    <row r="18" spans="1:6" ht="15" customHeight="1" x14ac:dyDescent="0.2">
      <c r="A18" s="2" t="s">
        <v>15</v>
      </c>
      <c r="B18" s="2"/>
      <c r="C18" s="2"/>
      <c r="D18" s="2"/>
      <c r="E18" s="2"/>
      <c r="F18" s="2"/>
    </row>
    <row r="19" spans="1:6" ht="15" customHeight="1" x14ac:dyDescent="0.2">
      <c r="A19" s="8"/>
      <c r="B19" s="8" t="s">
        <v>16</v>
      </c>
      <c r="C19" s="8" t="s">
        <v>17</v>
      </c>
      <c r="D19" s="8" t="s">
        <v>18</v>
      </c>
    </row>
    <row r="20" spans="1:6" ht="15" customHeight="1" x14ac:dyDescent="0.2">
      <c r="A20" s="5" t="s">
        <v>19</v>
      </c>
      <c r="B20" s="11">
        <v>0</v>
      </c>
      <c r="C20" s="10">
        <v>3</v>
      </c>
      <c r="D20" s="9">
        <f>3*$B$7*$B$20</f>
        <v>0</v>
      </c>
    </row>
    <row r="21" spans="1:6" ht="15" customHeight="1" x14ac:dyDescent="0.2">
      <c r="A21" s="5" t="s">
        <v>20</v>
      </c>
      <c r="B21" s="11">
        <v>0.5</v>
      </c>
      <c r="C21" s="10">
        <v>5</v>
      </c>
      <c r="D21" s="9">
        <f>5*$B$7*$B$21</f>
        <v>12682.5</v>
      </c>
    </row>
    <row r="22" spans="1:6" ht="15" customHeight="1" x14ac:dyDescent="0.2">
      <c r="A22" s="5" t="s">
        <v>21</v>
      </c>
      <c r="B22" s="11">
        <v>1</v>
      </c>
      <c r="C22" s="10">
        <v>4</v>
      </c>
      <c r="D22" s="9">
        <f>4*$B$7*$B$22</f>
        <v>20292</v>
      </c>
    </row>
    <row r="23" spans="1:6" ht="15" customHeight="1" x14ac:dyDescent="0.2">
      <c r="A23" s="8" t="s">
        <v>22</v>
      </c>
      <c r="D23" s="12">
        <f>$D$20+$D$21+$D$22</f>
        <v>32974.5</v>
      </c>
    </row>
    <row r="24" spans="1:6" ht="15" customHeight="1" x14ac:dyDescent="0.2">
      <c r="A24" s="5" t="s">
        <v>23</v>
      </c>
      <c r="D24" s="9">
        <f>$B$8</f>
        <v>60876</v>
      </c>
    </row>
    <row r="25" spans="1:6" ht="15" customHeight="1" x14ac:dyDescent="0.2">
      <c r="A25" s="8" t="s">
        <v>24</v>
      </c>
      <c r="D25" s="12">
        <f>$B$8-$D$23</f>
        <v>27901.5</v>
      </c>
    </row>
    <row r="26" spans="1:6" ht="15" customHeight="1" x14ac:dyDescent="0.2">
      <c r="A26" s="8" t="s">
        <v>25</v>
      </c>
      <c r="D26" s="12">
        <f>$D$23/12</f>
        <v>2747.875</v>
      </c>
    </row>
    <row r="27" spans="1:6" ht="15" customHeight="1" x14ac:dyDescent="0.2">
      <c r="A27" s="2" t="s">
        <v>26</v>
      </c>
      <c r="B27" s="2"/>
      <c r="C27" s="2"/>
      <c r="D27" s="2"/>
      <c r="E27" s="2"/>
      <c r="F27" s="2"/>
    </row>
    <row r="29" spans="1:6" ht="19.5" customHeight="1" x14ac:dyDescent="0.2">
      <c r="A29" s="1" t="s">
        <v>27</v>
      </c>
      <c r="B29" s="1"/>
      <c r="C29" s="1"/>
      <c r="D29" s="1"/>
      <c r="E29" s="1"/>
      <c r="F29" s="1"/>
    </row>
    <row r="30" spans="1:6" ht="15" customHeight="1" x14ac:dyDescent="0.2">
      <c r="A30" s="2" t="s">
        <v>28</v>
      </c>
      <c r="B30" s="2"/>
      <c r="C30" s="2"/>
      <c r="D30" s="2"/>
      <c r="E30" s="2"/>
      <c r="F30" s="2"/>
    </row>
    <row r="31" spans="1:6" ht="15" customHeight="1" x14ac:dyDescent="0.2">
      <c r="A31" s="5" t="s">
        <v>29</v>
      </c>
      <c r="B31" s="6">
        <v>24</v>
      </c>
    </row>
    <row r="32" spans="1:6" ht="15" customHeight="1" x14ac:dyDescent="0.2">
      <c r="A32" s="5" t="s">
        <v>30</v>
      </c>
      <c r="B32" s="13">
        <v>50</v>
      </c>
    </row>
    <row r="33" spans="1:6" ht="15" customHeight="1" x14ac:dyDescent="0.2">
      <c r="A33" s="5" t="s">
        <v>31</v>
      </c>
      <c r="B33" s="9">
        <f>$B$31*$B$32</f>
        <v>1200</v>
      </c>
    </row>
    <row r="34" spans="1:6" ht="15" customHeight="1" x14ac:dyDescent="0.2">
      <c r="A34" s="8" t="s">
        <v>32</v>
      </c>
      <c r="B34" s="9">
        <f>$B$31*$B$32*30</f>
        <v>36000</v>
      </c>
    </row>
    <row r="35" spans="1:6" ht="15" customHeight="1" x14ac:dyDescent="0.2">
      <c r="A35" s="2" t="s">
        <v>33</v>
      </c>
      <c r="B35" s="2"/>
      <c r="C35" s="2"/>
      <c r="D35" s="2"/>
      <c r="E35" s="2"/>
      <c r="F35" s="2"/>
    </row>
    <row r="37" spans="1:6" ht="19.5" customHeight="1" x14ac:dyDescent="0.2">
      <c r="A37" s="1" t="s">
        <v>34</v>
      </c>
      <c r="B37" s="1"/>
      <c r="C37" s="1"/>
      <c r="D37" s="1"/>
      <c r="E37" s="1"/>
      <c r="F37" s="1"/>
    </row>
    <row r="38" spans="1:6" ht="15" customHeight="1" x14ac:dyDescent="0.2">
      <c r="A38" s="2" t="s">
        <v>35</v>
      </c>
      <c r="B38" s="2"/>
      <c r="C38" s="2"/>
      <c r="D38" s="2"/>
      <c r="E38" s="2"/>
      <c r="F38" s="2"/>
    </row>
    <row r="39" spans="1:6" ht="15" customHeight="1" x14ac:dyDescent="0.2">
      <c r="A39" s="8"/>
      <c r="B39" s="8" t="s">
        <v>36</v>
      </c>
      <c r="C39" s="8" t="s">
        <v>37</v>
      </c>
      <c r="D39" s="8" t="s">
        <v>38</v>
      </c>
    </row>
    <row r="40" spans="1:6" ht="15" customHeight="1" x14ac:dyDescent="0.2">
      <c r="A40" s="5" t="s">
        <v>39</v>
      </c>
      <c r="B40" s="6">
        <v>2500</v>
      </c>
      <c r="C40" s="7">
        <v>3</v>
      </c>
      <c r="D40" s="9">
        <f>$B$40*$C$40</f>
        <v>7500</v>
      </c>
    </row>
    <row r="41" spans="1:6" ht="15" customHeight="1" x14ac:dyDescent="0.2">
      <c r="A41" s="5" t="s">
        <v>40</v>
      </c>
      <c r="B41" s="10">
        <f>$B$87</f>
        <v>500</v>
      </c>
      <c r="C41" s="7"/>
      <c r="D41" s="9">
        <f>$B$75</f>
        <v>17500</v>
      </c>
    </row>
    <row r="42" spans="1:6" ht="15" customHeight="1" x14ac:dyDescent="0.2">
      <c r="A42" s="2" t="s">
        <v>41</v>
      </c>
      <c r="B42" s="2"/>
      <c r="C42" s="2"/>
      <c r="D42" s="2"/>
      <c r="E42" s="2"/>
      <c r="F42" s="2"/>
    </row>
    <row r="43" spans="1:6" ht="15" customHeight="1" x14ac:dyDescent="0.2">
      <c r="A43" s="2" t="s">
        <v>42</v>
      </c>
      <c r="B43" s="2"/>
      <c r="C43" s="2"/>
      <c r="D43" s="2"/>
      <c r="E43" s="2"/>
      <c r="F43" s="2"/>
    </row>
    <row r="44" spans="1:6" ht="15" customHeight="1" x14ac:dyDescent="0.2">
      <c r="A44" s="8" t="s">
        <v>43</v>
      </c>
      <c r="D44" s="12">
        <f>$D$40+$D$41</f>
        <v>25000</v>
      </c>
    </row>
    <row r="45" spans="1:6" ht="15" customHeight="1" x14ac:dyDescent="0.2">
      <c r="A45" s="5" t="s">
        <v>44</v>
      </c>
      <c r="D45" s="9">
        <f>$D$44</f>
        <v>25000</v>
      </c>
    </row>
    <row r="47" spans="1:6" ht="19.5" customHeight="1" x14ac:dyDescent="0.2">
      <c r="A47" s="1" t="s">
        <v>45</v>
      </c>
      <c r="B47" s="1"/>
      <c r="C47" s="1"/>
      <c r="D47" s="1"/>
      <c r="E47" s="1"/>
      <c r="F47" s="1"/>
    </row>
    <row r="48" spans="1:6" ht="15" customHeight="1" x14ac:dyDescent="0.2">
      <c r="A48" s="2" t="s">
        <v>46</v>
      </c>
      <c r="B48" s="2"/>
      <c r="C48" s="2"/>
      <c r="D48" s="2"/>
      <c r="E48" s="2"/>
      <c r="F48" s="2"/>
    </row>
    <row r="49" spans="1:6" ht="15" customHeight="1" x14ac:dyDescent="0.2">
      <c r="A49" s="5" t="s">
        <v>47</v>
      </c>
      <c r="B49" s="13">
        <v>300</v>
      </c>
    </row>
    <row r="50" spans="1:6" ht="15" customHeight="1" x14ac:dyDescent="0.2">
      <c r="A50" s="5" t="s">
        <v>48</v>
      </c>
      <c r="B50" s="13">
        <v>250</v>
      </c>
    </row>
    <row r="51" spans="1:6" ht="15" customHeight="1" x14ac:dyDescent="0.2">
      <c r="A51" s="5" t="s">
        <v>49</v>
      </c>
      <c r="B51" s="13">
        <v>150</v>
      </c>
    </row>
    <row r="52" spans="1:6" ht="15" customHeight="1" x14ac:dyDescent="0.2">
      <c r="A52" s="5" t="s">
        <v>50</v>
      </c>
      <c r="B52" s="13">
        <v>1500</v>
      </c>
    </row>
    <row r="53" spans="1:6" ht="15" customHeight="1" x14ac:dyDescent="0.2">
      <c r="A53" s="8" t="s">
        <v>51</v>
      </c>
      <c r="B53" s="12">
        <f>$B$49+$B$50+$B$51+$B$52</f>
        <v>2200</v>
      </c>
    </row>
    <row r="55" spans="1:6" ht="19.5" customHeight="1" x14ac:dyDescent="0.2">
      <c r="A55" s="1" t="s">
        <v>52</v>
      </c>
      <c r="B55" s="1"/>
      <c r="C55" s="1"/>
      <c r="D55" s="1"/>
      <c r="E55" s="1"/>
      <c r="F55" s="1"/>
    </row>
    <row r="56" spans="1:6" ht="15" customHeight="1" x14ac:dyDescent="0.2">
      <c r="A56" s="8"/>
      <c r="B56" s="8" t="s">
        <v>53</v>
      </c>
      <c r="C56" s="8" t="s">
        <v>54</v>
      </c>
      <c r="D56" s="8" t="s">
        <v>55</v>
      </c>
      <c r="E56" s="8" t="s">
        <v>56</v>
      </c>
    </row>
    <row r="57" spans="1:6" ht="15" customHeight="1" x14ac:dyDescent="0.2">
      <c r="A57" s="5" t="s">
        <v>57</v>
      </c>
      <c r="B57" s="9">
        <f>$B$34</f>
        <v>36000</v>
      </c>
      <c r="C57" s="9">
        <f>$D$45</f>
        <v>25000</v>
      </c>
      <c r="D57" s="9">
        <f>$D$44</f>
        <v>25000</v>
      </c>
      <c r="E57" s="9">
        <f>'Monthly Forecast'!$B$20/12</f>
        <v>18437.5</v>
      </c>
    </row>
    <row r="58" spans="1:6" ht="15" customHeight="1" x14ac:dyDescent="0.2">
      <c r="A58" s="5" t="s">
        <v>58</v>
      </c>
      <c r="B58" s="9">
        <f>-$B$7</f>
        <v>-5073</v>
      </c>
      <c r="C58" s="9">
        <f>-$B$7</f>
        <v>-5073</v>
      </c>
      <c r="D58" s="9">
        <f>-$B$7</f>
        <v>-5073</v>
      </c>
      <c r="E58" s="9">
        <f>-$D$26</f>
        <v>-2747.875</v>
      </c>
    </row>
    <row r="59" spans="1:6" ht="15" customHeight="1" x14ac:dyDescent="0.2">
      <c r="A59" s="5" t="s">
        <v>59</v>
      </c>
      <c r="B59" s="9">
        <f>-$B$53</f>
        <v>-2200</v>
      </c>
      <c r="C59" s="9">
        <f>-$B$53</f>
        <v>-2200</v>
      </c>
      <c r="D59" s="9">
        <f>-$B$53</f>
        <v>-2200</v>
      </c>
      <c r="E59" s="9">
        <f>-$B$53</f>
        <v>-2200</v>
      </c>
    </row>
    <row r="60" spans="1:6" ht="15" customHeight="1" x14ac:dyDescent="0.2">
      <c r="A60" s="8" t="s">
        <v>60</v>
      </c>
      <c r="B60" s="12">
        <f>B57+B58+B59</f>
        <v>28727</v>
      </c>
      <c r="C60" s="12">
        <f>C57+C58+C59</f>
        <v>17727</v>
      </c>
      <c r="D60" s="12">
        <f>D57+D58+D59</f>
        <v>17727</v>
      </c>
      <c r="E60" s="12">
        <f>E57+E58+E59</f>
        <v>13489.625</v>
      </c>
    </row>
    <row r="61" spans="1:6" ht="15" customHeight="1" x14ac:dyDescent="0.2">
      <c r="A61" s="8" t="s">
        <v>61</v>
      </c>
      <c r="B61" s="12">
        <f>B60*12</f>
        <v>344724</v>
      </c>
      <c r="C61" s="12">
        <f>C60*12</f>
        <v>212724</v>
      </c>
      <c r="D61" s="12">
        <f>D60*12</f>
        <v>212724</v>
      </c>
      <c r="E61" s="12">
        <f>E60*12</f>
        <v>161875.5</v>
      </c>
    </row>
    <row r="62" spans="1:6" ht="15" customHeight="1" x14ac:dyDescent="0.2">
      <c r="A62" s="5" t="s">
        <v>62</v>
      </c>
      <c r="B62" s="14">
        <f>IFERROR(B60/B57,0)</f>
        <v>0.79797222222222219</v>
      </c>
      <c r="C62" s="14">
        <f>IFERROR(C60/C57,0)</f>
        <v>0.70908000000000004</v>
      </c>
      <c r="D62" s="14">
        <f>IFERROR(D60/D57,0)</f>
        <v>0.70908000000000004</v>
      </c>
      <c r="E62" s="14">
        <f>IFERROR(E60/E57,0)</f>
        <v>0.73164067796610166</v>
      </c>
    </row>
    <row r="63" spans="1:6" ht="15" customHeight="1" x14ac:dyDescent="0.2">
      <c r="A63" s="2" t="s">
        <v>63</v>
      </c>
      <c r="B63" s="2"/>
      <c r="C63" s="2"/>
      <c r="D63" s="2"/>
      <c r="E63" s="2"/>
      <c r="F63" s="2"/>
    </row>
    <row r="65" spans="1:6" ht="19.5" customHeight="1" x14ac:dyDescent="0.2">
      <c r="A65" s="1" t="s">
        <v>64</v>
      </c>
      <c r="B65" s="1"/>
      <c r="C65" s="1"/>
      <c r="D65" s="1"/>
      <c r="E65" s="1"/>
      <c r="F65" s="1"/>
    </row>
    <row r="66" spans="1:6" ht="15" customHeight="1" x14ac:dyDescent="0.2">
      <c r="A66" s="5" t="s">
        <v>65</v>
      </c>
      <c r="B66" s="15">
        <f>MAX(0,IFERROR(($B$7+$B$53-$D$40)/$B$75,0))</f>
        <v>0</v>
      </c>
    </row>
    <row r="67" spans="1:6" ht="15" customHeight="1" x14ac:dyDescent="0.2">
      <c r="A67" s="2" t="s">
        <v>66</v>
      </c>
      <c r="B67" s="2"/>
      <c r="C67" s="2"/>
      <c r="D67" s="2"/>
      <c r="E67" s="2"/>
      <c r="F67" s="2"/>
    </row>
    <row r="69" spans="1:6" ht="19.5" customHeight="1" x14ac:dyDescent="0.2">
      <c r="A69" s="1" t="s">
        <v>67</v>
      </c>
      <c r="B69" s="1"/>
      <c r="C69" s="1"/>
      <c r="D69" s="1"/>
      <c r="E69" s="1"/>
      <c r="F69" s="1"/>
    </row>
    <row r="70" spans="1:6" ht="15" customHeight="1" x14ac:dyDescent="0.2">
      <c r="A70" s="2" t="s">
        <v>68</v>
      </c>
      <c r="B70" s="2"/>
      <c r="C70" s="2"/>
      <c r="D70" s="2"/>
      <c r="E70" s="2"/>
      <c r="F70" s="2"/>
    </row>
    <row r="71" spans="1:6" ht="15" customHeight="1" x14ac:dyDescent="0.2">
      <c r="A71" s="5" t="s">
        <v>69</v>
      </c>
      <c r="B71" s="9">
        <f>$D$40</f>
        <v>7500</v>
      </c>
    </row>
    <row r="72" spans="1:6" ht="15" customHeight="1" x14ac:dyDescent="0.2">
      <c r="A72" s="2" t="s">
        <v>70</v>
      </c>
      <c r="B72" s="2"/>
      <c r="C72" s="2"/>
      <c r="D72" s="2"/>
      <c r="E72" s="2"/>
      <c r="F72" s="2"/>
    </row>
    <row r="73" spans="1:6" ht="15" customHeight="1" x14ac:dyDescent="0.2">
      <c r="A73" s="5" t="s">
        <v>71</v>
      </c>
      <c r="B73" s="11">
        <v>0.3</v>
      </c>
    </row>
    <row r="74" spans="1:6" ht="15" customHeight="1" x14ac:dyDescent="0.2">
      <c r="A74" s="8" t="s">
        <v>72</v>
      </c>
      <c r="B74" s="12">
        <f>IFERROR($B$71/$B$73,0)</f>
        <v>25000</v>
      </c>
    </row>
    <row r="75" spans="1:6" ht="15" customHeight="1" x14ac:dyDescent="0.2">
      <c r="A75" s="8" t="s">
        <v>73</v>
      </c>
      <c r="B75" s="12">
        <f>$B$74-$B$71</f>
        <v>17500</v>
      </c>
    </row>
    <row r="77" spans="1:6" ht="15" customHeight="1" x14ac:dyDescent="0.2">
      <c r="A77" s="8" t="s">
        <v>74</v>
      </c>
    </row>
    <row r="78" spans="1:6" ht="15" customHeight="1" x14ac:dyDescent="0.2">
      <c r="A78" s="5" t="s">
        <v>75</v>
      </c>
      <c r="B78" s="7">
        <v>25</v>
      </c>
    </row>
    <row r="79" spans="1:6" ht="15" customHeight="1" x14ac:dyDescent="0.2">
      <c r="A79" s="5" t="s">
        <v>76</v>
      </c>
      <c r="B79" s="6">
        <v>48</v>
      </c>
    </row>
    <row r="80" spans="1:6" ht="15" customHeight="1" x14ac:dyDescent="0.2">
      <c r="A80" s="5" t="s">
        <v>77</v>
      </c>
      <c r="B80" s="16">
        <f>$B$79/24</f>
        <v>2</v>
      </c>
    </row>
    <row r="81" spans="1:6" ht="15" customHeight="1" x14ac:dyDescent="0.2">
      <c r="A81" s="5" t="s">
        <v>78</v>
      </c>
      <c r="B81" s="7">
        <v>10</v>
      </c>
    </row>
    <row r="82" spans="1:6" ht="15" customHeight="1" x14ac:dyDescent="0.2">
      <c r="A82" s="2" t="s">
        <v>79</v>
      </c>
      <c r="B82" s="2"/>
      <c r="C82" s="2"/>
      <c r="D82" s="2"/>
      <c r="E82" s="2"/>
      <c r="F82" s="2"/>
    </row>
    <row r="83" spans="1:6" ht="15" customHeight="1" x14ac:dyDescent="0.2">
      <c r="A83" s="5" t="s">
        <v>80</v>
      </c>
      <c r="B83" s="6">
        <v>3</v>
      </c>
    </row>
    <row r="84" spans="1:6" ht="15" customHeight="1" x14ac:dyDescent="0.2">
      <c r="A84" s="2" t="s">
        <v>81</v>
      </c>
      <c r="B84" s="2"/>
      <c r="C84" s="2"/>
      <c r="D84" s="2"/>
      <c r="E84" s="2"/>
      <c r="F84" s="2"/>
    </row>
    <row r="85" spans="1:6" ht="15" customHeight="1" x14ac:dyDescent="0.2">
      <c r="A85" s="5" t="s">
        <v>82</v>
      </c>
      <c r="B85" s="16">
        <f>MAX(0,$B$83-$B$80)</f>
        <v>1</v>
      </c>
    </row>
    <row r="86" spans="1:6" ht="15" customHeight="1" x14ac:dyDescent="0.2">
      <c r="A86" s="8" t="s">
        <v>83</v>
      </c>
      <c r="B86" s="17">
        <f>$B$78+($B$85*$B$81)</f>
        <v>35</v>
      </c>
    </row>
    <row r="87" spans="1:6" ht="15" customHeight="1" x14ac:dyDescent="0.2">
      <c r="A87" s="5" t="s">
        <v>84</v>
      </c>
      <c r="B87" s="10">
        <f>IFERROR($B$75/$B$86,0)</f>
        <v>500</v>
      </c>
    </row>
    <row r="88" spans="1:6" ht="15" customHeight="1" x14ac:dyDescent="0.2">
      <c r="A88" s="8" t="s">
        <v>85</v>
      </c>
      <c r="B88" s="18">
        <f>IFERROR($B$75/$B$86/4.33,0)</f>
        <v>115.47344110854503</v>
      </c>
    </row>
    <row r="89" spans="1:6" ht="15" customHeight="1" x14ac:dyDescent="0.2">
      <c r="A89" s="2" t="s">
        <v>86</v>
      </c>
      <c r="B89" s="2"/>
      <c r="C89" s="2"/>
      <c r="D89" s="2"/>
      <c r="E89" s="2"/>
      <c r="F89" s="2"/>
    </row>
    <row r="91" spans="1:6" ht="15" customHeight="1" x14ac:dyDescent="0.2">
      <c r="A91" s="8" t="s">
        <v>87</v>
      </c>
    </row>
    <row r="92" spans="1:6" ht="15" customHeight="1" x14ac:dyDescent="0.2">
      <c r="A92" s="5" t="s">
        <v>88</v>
      </c>
      <c r="B92" s="13">
        <v>425</v>
      </c>
    </row>
    <row r="93" spans="1:6" ht="15" customHeight="1" x14ac:dyDescent="0.2">
      <c r="A93" s="2" t="s">
        <v>89</v>
      </c>
      <c r="B93" s="2"/>
      <c r="C93" s="2"/>
      <c r="D93" s="2"/>
      <c r="E93" s="2"/>
      <c r="F93" s="2"/>
    </row>
    <row r="94" spans="1:6" ht="15" customHeight="1" x14ac:dyDescent="0.2">
      <c r="A94" s="5" t="s">
        <v>90</v>
      </c>
      <c r="B94" s="10">
        <f>IFERROR($B$75/$B$92,0)</f>
        <v>41.176470588235297</v>
      </c>
    </row>
    <row r="95" spans="1:6" ht="15" customHeight="1" x14ac:dyDescent="0.2">
      <c r="A95" s="8" t="s">
        <v>91</v>
      </c>
      <c r="B95" s="18">
        <f>IFERROR($B$75/$B$92/4.33,0)</f>
        <v>9.5095775030566507</v>
      </c>
    </row>
    <row r="96" spans="1:6" ht="15" customHeight="1" x14ac:dyDescent="0.2">
      <c r="A96" s="2" t="s">
        <v>92</v>
      </c>
      <c r="B96" s="2"/>
      <c r="C96" s="2"/>
      <c r="D96" s="2"/>
      <c r="E96" s="2"/>
      <c r="F96" s="2"/>
    </row>
    <row r="98" spans="1:6" ht="15" customHeight="1" x14ac:dyDescent="0.2">
      <c r="A98" s="8" t="s">
        <v>93</v>
      </c>
    </row>
    <row r="99" spans="1:6" ht="15" customHeight="1" x14ac:dyDescent="0.2">
      <c r="A99" s="5" t="s">
        <v>94</v>
      </c>
      <c r="B99" s="9">
        <f>$B$74</f>
        <v>25000</v>
      </c>
    </row>
    <row r="100" spans="1:6" ht="15" customHeight="1" x14ac:dyDescent="0.2">
      <c r="A100" s="5" t="s">
        <v>58</v>
      </c>
      <c r="B100" s="9">
        <f>-$B$7</f>
        <v>-5073</v>
      </c>
    </row>
    <row r="101" spans="1:6" ht="15" customHeight="1" x14ac:dyDescent="0.2">
      <c r="A101" s="5" t="s">
        <v>59</v>
      </c>
      <c r="B101" s="9">
        <f>-$B$53</f>
        <v>-2200</v>
      </c>
    </row>
    <row r="102" spans="1:6" ht="15" customHeight="1" x14ac:dyDescent="0.2">
      <c r="A102" s="8" t="s">
        <v>95</v>
      </c>
      <c r="B102" s="12">
        <f>$B$74-$B$7-$B$53</f>
        <v>17727</v>
      </c>
    </row>
    <row r="103" spans="1:6" ht="15" customHeight="1" x14ac:dyDescent="0.2">
      <c r="A103" s="8" t="s">
        <v>96</v>
      </c>
      <c r="B103" s="12">
        <f>$B$102*12</f>
        <v>212724</v>
      </c>
    </row>
    <row r="105" spans="1:6" ht="19.5" customHeight="1" x14ac:dyDescent="0.2">
      <c r="A105" s="1" t="s">
        <v>97</v>
      </c>
      <c r="B105" s="1"/>
      <c r="C105" s="1"/>
      <c r="D105" s="1"/>
      <c r="E105" s="1"/>
      <c r="F105" s="1"/>
    </row>
    <row r="106" spans="1:6" ht="15" customHeight="1" x14ac:dyDescent="0.2">
      <c r="A106" s="2" t="s">
        <v>98</v>
      </c>
      <c r="B106" s="2"/>
      <c r="C106" s="2"/>
      <c r="D106" s="2"/>
      <c r="E106" s="2"/>
      <c r="F106" s="2"/>
    </row>
    <row r="107" spans="1:6" ht="15" customHeight="1" x14ac:dyDescent="0.2">
      <c r="A107" s="5" t="s">
        <v>99</v>
      </c>
      <c r="B107" s="16">
        <f>$B$75/$B$86/30</f>
        <v>16.666666666666668</v>
      </c>
    </row>
    <row r="108" spans="1:6" ht="15" customHeight="1" x14ac:dyDescent="0.2">
      <c r="A108" s="8" t="s">
        <v>100</v>
      </c>
      <c r="B108" s="18">
        <f>$B$107*$B$83</f>
        <v>50</v>
      </c>
    </row>
    <row r="109" spans="1:6" ht="15" customHeight="1" x14ac:dyDescent="0.2">
      <c r="A109" s="5" t="s">
        <v>101</v>
      </c>
      <c r="B109" s="6">
        <v>7</v>
      </c>
    </row>
    <row r="110" spans="1:6" ht="15" customHeight="1" x14ac:dyDescent="0.2">
      <c r="A110" s="8" t="s">
        <v>102</v>
      </c>
      <c r="B110" s="18">
        <f>$B$107*$B$109</f>
        <v>116.66666666666667</v>
      </c>
    </row>
    <row r="112" spans="1:6" ht="15" customHeight="1" x14ac:dyDescent="0.2">
      <c r="A112" s="8"/>
      <c r="B112" s="8" t="s">
        <v>103</v>
      </c>
      <c r="C112" s="8" t="s">
        <v>104</v>
      </c>
      <c r="D112" s="8" t="s">
        <v>105</v>
      </c>
    </row>
    <row r="113" spans="1:6" ht="15" customHeight="1" x14ac:dyDescent="0.2">
      <c r="A113" s="5" t="s">
        <v>106</v>
      </c>
      <c r="B113" s="6">
        <v>15</v>
      </c>
      <c r="C113" s="10">
        <f>$B$108*$B$113</f>
        <v>750</v>
      </c>
      <c r="D113" s="10">
        <f>$B$110*$B$113</f>
        <v>1750</v>
      </c>
    </row>
    <row r="114" spans="1:6" ht="15" customHeight="1" x14ac:dyDescent="0.2">
      <c r="A114" s="5" t="s">
        <v>107</v>
      </c>
      <c r="B114" s="6">
        <v>25</v>
      </c>
      <c r="C114" s="10">
        <f>$B$108*$B$114</f>
        <v>1250</v>
      </c>
      <c r="D114" s="10">
        <f>$B$110*$B$114</f>
        <v>2916.666666666667</v>
      </c>
    </row>
    <row r="115" spans="1:6" ht="15" customHeight="1" x14ac:dyDescent="0.2">
      <c r="A115" s="2" t="s">
        <v>108</v>
      </c>
      <c r="B115" s="2"/>
      <c r="C115" s="2"/>
      <c r="D115" s="2"/>
      <c r="E115" s="2"/>
      <c r="F115" s="2"/>
    </row>
    <row r="117" spans="1:6" ht="15" customHeight="1" x14ac:dyDescent="0.2">
      <c r="A117" s="8" t="s">
        <v>109</v>
      </c>
    </row>
    <row r="118" spans="1:6" ht="15" customHeight="1" x14ac:dyDescent="0.2">
      <c r="A118" s="5" t="s">
        <v>110</v>
      </c>
      <c r="B118" s="10">
        <f>$B$11</f>
        <v>5700</v>
      </c>
    </row>
    <row r="119" spans="1:6" ht="15" customHeight="1" x14ac:dyDescent="0.2">
      <c r="A119" s="5" t="s">
        <v>111</v>
      </c>
      <c r="B119" s="10">
        <f>$B$40</f>
        <v>2500</v>
      </c>
    </row>
    <row r="120" spans="1:6" ht="15" customHeight="1" x14ac:dyDescent="0.2">
      <c r="A120" s="5" t="s">
        <v>112</v>
      </c>
      <c r="B120" s="10">
        <f>MAX(0,$B$14-$B$40)</f>
        <v>1775</v>
      </c>
    </row>
    <row r="121" spans="1:6" ht="15" customHeight="1" x14ac:dyDescent="0.2">
      <c r="A121" s="2" t="s">
        <v>113</v>
      </c>
      <c r="B121" s="2"/>
      <c r="C121" s="2"/>
      <c r="D121" s="2"/>
      <c r="E121" s="2"/>
      <c r="F121" s="2"/>
    </row>
  </sheetData>
  <mergeCells count="34">
    <mergeCell ref="A105:F105"/>
    <mergeCell ref="A106:F106"/>
    <mergeCell ref="A115:F115"/>
    <mergeCell ref="A121:F121"/>
    <mergeCell ref="A82:F82"/>
    <mergeCell ref="A84:F84"/>
    <mergeCell ref="A89:F89"/>
    <mergeCell ref="A93:F93"/>
    <mergeCell ref="A96:F96"/>
    <mergeCell ref="A65:F65"/>
    <mergeCell ref="A67:F67"/>
    <mergeCell ref="A69:F69"/>
    <mergeCell ref="A70:F70"/>
    <mergeCell ref="A72:F72"/>
    <mergeCell ref="A43:F43"/>
    <mergeCell ref="A47:F47"/>
    <mergeCell ref="A48:F48"/>
    <mergeCell ref="A55:F55"/>
    <mergeCell ref="A63:F63"/>
    <mergeCell ref="A30:F30"/>
    <mergeCell ref="A35:F35"/>
    <mergeCell ref="A37:F37"/>
    <mergeCell ref="A38:F38"/>
    <mergeCell ref="A42:F42"/>
    <mergeCell ref="A15:F15"/>
    <mergeCell ref="A17:F17"/>
    <mergeCell ref="A18:F18"/>
    <mergeCell ref="A27:F27"/>
    <mergeCell ref="A29:F29"/>
    <mergeCell ref="A1:F1"/>
    <mergeCell ref="A2:F2"/>
    <mergeCell ref="A4:F4"/>
    <mergeCell ref="A9:F9"/>
    <mergeCell ref="A12:F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zoomScale="160" zoomScaleNormal="160" workbookViewId="0">
      <selection activeCell="B18" sqref="B18"/>
    </sheetView>
  </sheetViews>
  <sheetFormatPr baseColWidth="10" defaultColWidth="8.6640625" defaultRowHeight="15" x14ac:dyDescent="0.2"/>
  <cols>
    <col min="1" max="1" width="61.5" style="4" customWidth="1"/>
    <col min="2" max="7" width="14" style="4" customWidth="1"/>
  </cols>
  <sheetData>
    <row r="1" spans="1:7" ht="19.5" customHeight="1" x14ac:dyDescent="0.2">
      <c r="A1" s="3" t="s">
        <v>114</v>
      </c>
      <c r="B1" s="3"/>
      <c r="C1" s="3"/>
      <c r="D1" s="3"/>
      <c r="E1" s="3"/>
      <c r="F1" s="3"/>
      <c r="G1" s="3"/>
    </row>
    <row r="2" spans="1:7" ht="15" customHeight="1" x14ac:dyDescent="0.2">
      <c r="A2" s="2" t="s">
        <v>115</v>
      </c>
      <c r="B2" s="2"/>
      <c r="C2" s="2"/>
      <c r="D2" s="2"/>
      <c r="E2" s="2"/>
      <c r="F2" s="2"/>
      <c r="G2" s="2"/>
    </row>
    <row r="4" spans="1:7" ht="19.5" customHeight="1" x14ac:dyDescent="0.2">
      <c r="A4" s="1" t="s">
        <v>116</v>
      </c>
      <c r="B4" s="1"/>
      <c r="C4" s="1"/>
      <c r="D4" s="1"/>
      <c r="E4" s="1"/>
      <c r="F4" s="1"/>
      <c r="G4" s="1"/>
    </row>
    <row r="5" spans="1:7" ht="15" customHeight="1" x14ac:dyDescent="0.2">
      <c r="A5" s="5" t="s">
        <v>3</v>
      </c>
      <c r="B5" s="10">
        <f>'Warehouse Proforma'!B5</f>
        <v>5700</v>
      </c>
    </row>
    <row r="6" spans="1:7" ht="15" customHeight="1" x14ac:dyDescent="0.2">
      <c r="A6" s="5" t="s">
        <v>5</v>
      </c>
      <c r="B6" s="9">
        <f>'Warehouse Proforma'!B7</f>
        <v>5073</v>
      </c>
    </row>
    <row r="7" spans="1:7" ht="15" customHeight="1" x14ac:dyDescent="0.2">
      <c r="A7" s="5" t="s">
        <v>117</v>
      </c>
      <c r="B7" s="9">
        <f>'Warehouse Proforma'!B53</f>
        <v>2200</v>
      </c>
    </row>
    <row r="8" spans="1:7" ht="15" customHeight="1" x14ac:dyDescent="0.2">
      <c r="A8" s="8" t="s">
        <v>118</v>
      </c>
      <c r="B8" s="12">
        <f>$B$6+$B$7</f>
        <v>7273</v>
      </c>
    </row>
    <row r="9" spans="1:7" ht="15" customHeight="1" x14ac:dyDescent="0.2">
      <c r="A9" s="8" t="s">
        <v>119</v>
      </c>
      <c r="B9" s="17">
        <f>$B$8/$B$5</f>
        <v>1.2759649122807017</v>
      </c>
    </row>
    <row r="11" spans="1:7" ht="19.5" customHeight="1" x14ac:dyDescent="0.2">
      <c r="A11" s="1" t="s">
        <v>120</v>
      </c>
      <c r="B11" s="1"/>
      <c r="C11" s="1"/>
      <c r="D11" s="1"/>
      <c r="E11" s="1"/>
      <c r="F11" s="1"/>
      <c r="G11" s="1"/>
    </row>
    <row r="12" spans="1:7" ht="15" customHeight="1" x14ac:dyDescent="0.2">
      <c r="A12" s="2" t="s">
        <v>121</v>
      </c>
      <c r="B12" s="2"/>
      <c r="C12" s="2"/>
      <c r="D12" s="2"/>
      <c r="E12" s="2"/>
      <c r="F12" s="2"/>
      <c r="G12" s="2"/>
    </row>
    <row r="13" spans="1:7" ht="15" customHeight="1" x14ac:dyDescent="0.2">
      <c r="A13" s="19" t="s">
        <v>122</v>
      </c>
      <c r="B13" s="20">
        <v>1</v>
      </c>
      <c r="C13" s="20">
        <v>0.9</v>
      </c>
      <c r="D13" s="20">
        <v>0.8</v>
      </c>
      <c r="E13" s="20">
        <v>0.7</v>
      </c>
      <c r="F13" s="20">
        <v>0.6</v>
      </c>
      <c r="G13" s="20">
        <v>0.5</v>
      </c>
    </row>
    <row r="14" spans="1:7" ht="15" customHeight="1" x14ac:dyDescent="0.2">
      <c r="A14" s="5" t="s">
        <v>123</v>
      </c>
      <c r="B14" s="17">
        <f t="shared" ref="B14:G14" si="0">$B$8/($B$5*B13)</f>
        <v>1.2759649122807017</v>
      </c>
      <c r="C14" s="17">
        <f t="shared" si="0"/>
        <v>1.417738791423002</v>
      </c>
      <c r="D14" s="17">
        <f t="shared" si="0"/>
        <v>1.5949561403508772</v>
      </c>
      <c r="E14" s="17">
        <f t="shared" si="0"/>
        <v>1.8228070175438598</v>
      </c>
      <c r="F14" s="17">
        <f t="shared" si="0"/>
        <v>2.1266081871345031</v>
      </c>
      <c r="G14" s="17">
        <f t="shared" si="0"/>
        <v>2.5519298245614035</v>
      </c>
    </row>
    <row r="16" spans="1:7" ht="19.5" customHeight="1" x14ac:dyDescent="0.2">
      <c r="A16" s="1" t="s">
        <v>124</v>
      </c>
      <c r="B16" s="1"/>
      <c r="C16" s="1"/>
      <c r="D16" s="1"/>
      <c r="E16" s="1"/>
      <c r="F16" s="1"/>
      <c r="G16" s="1"/>
    </row>
    <row r="17" spans="1:7" ht="15" customHeight="1" x14ac:dyDescent="0.2">
      <c r="A17" s="5" t="s">
        <v>125</v>
      </c>
      <c r="B17" s="11">
        <v>0.75</v>
      </c>
    </row>
    <row r="18" spans="1:7" ht="15" customHeight="1" x14ac:dyDescent="0.2">
      <c r="A18" s="19" t="s">
        <v>126</v>
      </c>
      <c r="B18" s="20">
        <v>0</v>
      </c>
      <c r="C18" s="20">
        <v>0.2</v>
      </c>
      <c r="D18" s="20">
        <v>0.3</v>
      </c>
      <c r="E18" s="20">
        <v>0.4</v>
      </c>
      <c r="F18" s="20">
        <v>0.5</v>
      </c>
    </row>
    <row r="19" spans="1:7" ht="15" customHeight="1" x14ac:dyDescent="0.2">
      <c r="A19" s="5" t="s">
        <v>127</v>
      </c>
      <c r="B19" s="17">
        <f>($B$8/(1-B18))/($B$5*$B$17)</f>
        <v>1.7012865497076024</v>
      </c>
      <c r="C19" s="17">
        <f>($B$8/(1-C18))/($B$5*$B$17)</f>
        <v>2.1266081871345031</v>
      </c>
      <c r="D19" s="17">
        <f>($B$8/(1-D18))/($B$5*$B$17)</f>
        <v>2.4304093567251464</v>
      </c>
      <c r="E19" s="17">
        <f>($B$8/(1-E18))/($B$5*$B$17)</f>
        <v>2.8354775828460044</v>
      </c>
      <c r="F19" s="17">
        <f>($B$8/(1-F18))/($B$5*$B$17)</f>
        <v>3.4025730994152048</v>
      </c>
    </row>
    <row r="21" spans="1:7" ht="19.5" customHeight="1" x14ac:dyDescent="0.2">
      <c r="A21" s="1" t="s">
        <v>128</v>
      </c>
      <c r="B21" s="1"/>
      <c r="C21" s="1"/>
      <c r="D21" s="1"/>
      <c r="E21" s="1"/>
      <c r="F21" s="1"/>
      <c r="G21" s="1"/>
    </row>
    <row r="22" spans="1:7" ht="15" customHeight="1" x14ac:dyDescent="0.2">
      <c r="A22" s="5" t="s">
        <v>129</v>
      </c>
      <c r="B22" s="21" t="s">
        <v>130</v>
      </c>
    </row>
    <row r="23" spans="1:7" ht="15" customHeight="1" x14ac:dyDescent="0.2">
      <c r="A23" s="5" t="s">
        <v>131</v>
      </c>
      <c r="B23" s="21" t="s">
        <v>132</v>
      </c>
    </row>
    <row r="24" spans="1:7" ht="15" customHeight="1" x14ac:dyDescent="0.2">
      <c r="A24" s="23" t="s">
        <v>166</v>
      </c>
      <c r="B24" s="7">
        <v>3</v>
      </c>
    </row>
    <row r="25" spans="1:7" ht="15" customHeight="1" x14ac:dyDescent="0.2">
      <c r="A25" s="2" t="s">
        <v>167</v>
      </c>
      <c r="B25" s="2"/>
      <c r="C25" s="2"/>
      <c r="D25" s="2"/>
      <c r="E25" s="2"/>
      <c r="F25" s="2"/>
      <c r="G25" s="2"/>
    </row>
    <row r="27" spans="1:7" ht="19.5" customHeight="1" x14ac:dyDescent="0.2">
      <c r="A27" s="1" t="s">
        <v>133</v>
      </c>
      <c r="B27" s="1"/>
      <c r="C27" s="1"/>
      <c r="D27" s="1"/>
      <c r="E27" s="1"/>
      <c r="F27" s="1"/>
      <c r="G27" s="1"/>
    </row>
    <row r="28" spans="1:7" ht="15" customHeight="1" x14ac:dyDescent="0.2">
      <c r="A28" s="2" t="s">
        <v>134</v>
      </c>
      <c r="B28" s="2"/>
      <c r="C28" s="2"/>
      <c r="D28" s="2"/>
      <c r="E28" s="2"/>
      <c r="F28" s="2"/>
      <c r="G28" s="2"/>
    </row>
  </sheetData>
  <mergeCells count="10">
    <mergeCell ref="A16:G16"/>
    <mergeCell ref="A21:G21"/>
    <mergeCell ref="A25:G25"/>
    <mergeCell ref="A27:G27"/>
    <mergeCell ref="A28:G28"/>
    <mergeCell ref="A1:G1"/>
    <mergeCell ref="A2:G2"/>
    <mergeCell ref="A4:G4"/>
    <mergeCell ref="A11:G11"/>
    <mergeCell ref="A12:G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
  <sheetViews>
    <sheetView zoomScale="170" zoomScaleNormal="170" workbookViewId="0">
      <selection activeCell="C24" sqref="C24"/>
    </sheetView>
  </sheetViews>
  <sheetFormatPr baseColWidth="10" defaultColWidth="8.6640625" defaultRowHeight="15" x14ac:dyDescent="0.2"/>
  <cols>
    <col min="1" max="1" width="48.1640625" style="4" customWidth="1"/>
    <col min="2" max="13" width="10" style="4" customWidth="1"/>
  </cols>
  <sheetData>
    <row r="1" spans="1:14" ht="19.5" customHeight="1" x14ac:dyDescent="0.2">
      <c r="A1" s="3" t="s">
        <v>135</v>
      </c>
      <c r="B1" s="3"/>
      <c r="C1" s="3"/>
      <c r="D1" s="3"/>
      <c r="E1" s="3"/>
      <c r="F1" s="3"/>
      <c r="G1" s="3"/>
      <c r="H1" s="3"/>
      <c r="I1" s="3"/>
      <c r="J1" s="3"/>
      <c r="K1" s="3"/>
      <c r="L1" s="3"/>
      <c r="M1" s="3"/>
      <c r="N1" s="3"/>
    </row>
    <row r="2" spans="1:14" ht="15" customHeight="1" x14ac:dyDescent="0.2">
      <c r="A2" s="2" t="s">
        <v>136</v>
      </c>
      <c r="B2" s="2"/>
      <c r="C2" s="2"/>
      <c r="D2" s="2"/>
      <c r="E2" s="2"/>
      <c r="F2" s="2"/>
      <c r="G2" s="2"/>
      <c r="H2" s="2"/>
      <c r="I2" s="2"/>
      <c r="J2" s="2"/>
      <c r="K2" s="2"/>
      <c r="L2" s="2"/>
      <c r="M2" s="2"/>
      <c r="N2" s="2"/>
    </row>
    <row r="4" spans="1:14" ht="19.5" customHeight="1" x14ac:dyDescent="0.2">
      <c r="A4" s="1" t="s">
        <v>137</v>
      </c>
      <c r="B4" s="1"/>
      <c r="C4" s="1"/>
      <c r="D4" s="1"/>
      <c r="E4" s="1"/>
      <c r="F4" s="1"/>
      <c r="G4" s="1"/>
      <c r="H4" s="1"/>
      <c r="I4" s="1"/>
      <c r="J4" s="1"/>
      <c r="K4" s="1"/>
      <c r="L4" s="1"/>
      <c r="M4" s="1"/>
      <c r="N4" s="1"/>
    </row>
    <row r="5" spans="1:14" ht="15" customHeight="1" x14ac:dyDescent="0.2">
      <c r="A5" s="5" t="s">
        <v>138</v>
      </c>
      <c r="B5" s="6">
        <v>9</v>
      </c>
    </row>
    <row r="6" spans="1:14" ht="15" customHeight="1" x14ac:dyDescent="0.2">
      <c r="A6" s="2" t="s">
        <v>139</v>
      </c>
      <c r="B6" s="2"/>
      <c r="C6" s="2"/>
      <c r="D6" s="2"/>
      <c r="E6" s="2"/>
      <c r="F6" s="2"/>
      <c r="G6" s="2"/>
      <c r="H6" s="2"/>
      <c r="I6" s="2"/>
      <c r="J6" s="2"/>
      <c r="K6" s="2"/>
      <c r="L6" s="2"/>
      <c r="M6" s="2"/>
      <c r="N6" s="2"/>
    </row>
    <row r="8" spans="1:14" ht="19.5" customHeight="1" x14ac:dyDescent="0.2">
      <c r="A8" s="1" t="s">
        <v>140</v>
      </c>
      <c r="B8" s="1"/>
      <c r="C8" s="1"/>
      <c r="D8" s="1"/>
      <c r="E8" s="1"/>
      <c r="F8" s="1"/>
      <c r="G8" s="1"/>
      <c r="H8" s="1"/>
      <c r="I8" s="1"/>
      <c r="J8" s="1"/>
      <c r="K8" s="1"/>
      <c r="L8" s="1"/>
      <c r="M8" s="1"/>
      <c r="N8" s="1"/>
    </row>
    <row r="9" spans="1:14" ht="15" customHeight="1" x14ac:dyDescent="0.2">
      <c r="A9" s="8"/>
      <c r="B9" s="22" t="s">
        <v>141</v>
      </c>
      <c r="C9" s="22" t="s">
        <v>142</v>
      </c>
      <c r="D9" s="22" t="s">
        <v>143</v>
      </c>
      <c r="E9" s="22" t="s">
        <v>144</v>
      </c>
      <c r="F9" s="22" t="s">
        <v>145</v>
      </c>
      <c r="G9" s="22" t="s">
        <v>146</v>
      </c>
      <c r="H9" s="22" t="s">
        <v>147</v>
      </c>
      <c r="I9" s="22" t="s">
        <v>148</v>
      </c>
      <c r="J9" s="22" t="s">
        <v>149</v>
      </c>
      <c r="K9" s="22" t="s">
        <v>150</v>
      </c>
      <c r="L9" s="22" t="s">
        <v>151</v>
      </c>
      <c r="M9" s="22" t="s">
        <v>152</v>
      </c>
    </row>
    <row r="10" spans="1:14" ht="15" customHeight="1" x14ac:dyDescent="0.2">
      <c r="A10" s="5" t="s">
        <v>153</v>
      </c>
      <c r="B10" s="9">
        <f>'Warehouse Proforma'!$D$40</f>
        <v>7500</v>
      </c>
      <c r="C10" s="9">
        <f>'Warehouse Proforma'!$D$40</f>
        <v>7500</v>
      </c>
      <c r="D10" s="9">
        <f>'Warehouse Proforma'!$D$40</f>
        <v>7500</v>
      </c>
      <c r="E10" s="9">
        <f>'Warehouse Proforma'!$D$40</f>
        <v>7500</v>
      </c>
      <c r="F10" s="9">
        <f>'Warehouse Proforma'!$D$40</f>
        <v>7500</v>
      </c>
      <c r="G10" s="9">
        <f>'Warehouse Proforma'!$D$40</f>
        <v>7500</v>
      </c>
      <c r="H10" s="9">
        <f>'Warehouse Proforma'!$D$40</f>
        <v>7500</v>
      </c>
      <c r="I10" s="9">
        <f>'Warehouse Proforma'!$D$40</f>
        <v>7500</v>
      </c>
      <c r="J10" s="9">
        <f>'Warehouse Proforma'!$D$40</f>
        <v>7500</v>
      </c>
      <c r="K10" s="9">
        <f>'Warehouse Proforma'!$D$40</f>
        <v>7500</v>
      </c>
      <c r="L10" s="9">
        <f>'Warehouse Proforma'!$D$40</f>
        <v>7500</v>
      </c>
      <c r="M10" s="9">
        <f>'Warehouse Proforma'!$D$40</f>
        <v>7500</v>
      </c>
    </row>
    <row r="11" spans="1:14" ht="15" customHeight="1" x14ac:dyDescent="0.2">
      <c r="A11" s="5" t="s">
        <v>154</v>
      </c>
      <c r="B11" s="10">
        <f>MIN('Warehouse Proforma'!$B$87,'Warehouse Proforma'!$B$87*(1-1)/($B$5-1))</f>
        <v>0</v>
      </c>
      <c r="C11" s="10">
        <f>MIN('Warehouse Proforma'!$B$87,'Warehouse Proforma'!$B$87*(2-1)/($B$5-1))</f>
        <v>62.5</v>
      </c>
      <c r="D11" s="10">
        <f>MIN('Warehouse Proforma'!$B$87,'Warehouse Proforma'!$B$87*(3-1)/($B$5-1))</f>
        <v>125</v>
      </c>
      <c r="E11" s="10">
        <f>MIN('Warehouse Proforma'!$B$87,'Warehouse Proforma'!$B$87*(4-1)/($B$5-1))</f>
        <v>187.5</v>
      </c>
      <c r="F11" s="10">
        <f>MIN('Warehouse Proforma'!$B$87,'Warehouse Proforma'!$B$87*(5-1)/($B$5-1))</f>
        <v>250</v>
      </c>
      <c r="G11" s="10">
        <f>MIN('Warehouse Proforma'!$B$87,'Warehouse Proforma'!$B$87*(6-1)/($B$5-1))</f>
        <v>312.5</v>
      </c>
      <c r="H11" s="10">
        <f>MIN('Warehouse Proforma'!$B$87,'Warehouse Proforma'!$B$87*(7-1)/($B$5-1))</f>
        <v>375</v>
      </c>
      <c r="I11" s="10">
        <f>MIN('Warehouse Proforma'!$B$87,'Warehouse Proforma'!$B$87*(8-1)/($B$5-1))</f>
        <v>437.5</v>
      </c>
      <c r="J11" s="10">
        <f>MIN('Warehouse Proforma'!$B$87,'Warehouse Proforma'!$B$87*(9-1)/($B$5-1))</f>
        <v>500</v>
      </c>
      <c r="K11" s="10">
        <f>MIN('Warehouse Proforma'!$B$87,'Warehouse Proforma'!$B$87*(10-1)/($B$5-1))</f>
        <v>500</v>
      </c>
      <c r="L11" s="10">
        <f>MIN('Warehouse Proforma'!$B$87,'Warehouse Proforma'!$B$87*(11-1)/($B$5-1))</f>
        <v>500</v>
      </c>
      <c r="M11" s="10">
        <f>MIN('Warehouse Proforma'!$B$87,'Warehouse Proforma'!$B$87*(12-1)/($B$5-1))</f>
        <v>500</v>
      </c>
    </row>
    <row r="12" spans="1:14" ht="15" customHeight="1" x14ac:dyDescent="0.2">
      <c r="A12" s="5" t="s">
        <v>155</v>
      </c>
      <c r="B12" s="9">
        <f>B11*'Warehouse Proforma'!$B$86</f>
        <v>0</v>
      </c>
      <c r="C12" s="9">
        <f>C11*'Warehouse Proforma'!$B$86</f>
        <v>2187.5</v>
      </c>
      <c r="D12" s="9">
        <f>D11*'Warehouse Proforma'!$B$86</f>
        <v>4375</v>
      </c>
      <c r="E12" s="9">
        <f>E11*'Warehouse Proforma'!$B$86</f>
        <v>6562.5</v>
      </c>
      <c r="F12" s="9">
        <f>F11*'Warehouse Proforma'!$B$86</f>
        <v>8750</v>
      </c>
      <c r="G12" s="9">
        <f>G11*'Warehouse Proforma'!$B$86</f>
        <v>10937.5</v>
      </c>
      <c r="H12" s="9">
        <f>H11*'Warehouse Proforma'!$B$86</f>
        <v>13125</v>
      </c>
      <c r="I12" s="9">
        <f>I11*'Warehouse Proforma'!$B$86</f>
        <v>15312.5</v>
      </c>
      <c r="J12" s="9">
        <f>J11*'Warehouse Proforma'!$B$86</f>
        <v>17500</v>
      </c>
      <c r="K12" s="9">
        <f>K11*'Warehouse Proforma'!$B$86</f>
        <v>17500</v>
      </c>
      <c r="L12" s="9">
        <f>L11*'Warehouse Proforma'!$B$86</f>
        <v>17500</v>
      </c>
      <c r="M12" s="9">
        <f>M11*'Warehouse Proforma'!$B$86</f>
        <v>17500</v>
      </c>
    </row>
    <row r="13" spans="1:14" ht="15" customHeight="1" x14ac:dyDescent="0.2">
      <c r="A13" s="8" t="s">
        <v>156</v>
      </c>
      <c r="B13" s="12">
        <f t="shared" ref="B13:M13" si="0">B10+B12</f>
        <v>7500</v>
      </c>
      <c r="C13" s="12">
        <f t="shared" si="0"/>
        <v>9687.5</v>
      </c>
      <c r="D13" s="12">
        <f t="shared" si="0"/>
        <v>11875</v>
      </c>
      <c r="E13" s="12">
        <f t="shared" si="0"/>
        <v>14062.5</v>
      </c>
      <c r="F13" s="12">
        <f t="shared" si="0"/>
        <v>16250</v>
      </c>
      <c r="G13" s="12">
        <f t="shared" si="0"/>
        <v>18437.5</v>
      </c>
      <c r="H13" s="12">
        <f t="shared" si="0"/>
        <v>20625</v>
      </c>
      <c r="I13" s="12">
        <f t="shared" si="0"/>
        <v>22812.5</v>
      </c>
      <c r="J13" s="12">
        <f t="shared" si="0"/>
        <v>25000</v>
      </c>
      <c r="K13" s="12">
        <f t="shared" si="0"/>
        <v>25000</v>
      </c>
      <c r="L13" s="12">
        <f t="shared" si="0"/>
        <v>25000</v>
      </c>
      <c r="M13" s="12">
        <f t="shared" si="0"/>
        <v>25000</v>
      </c>
    </row>
    <row r="14" spans="1:14" ht="15" customHeight="1" x14ac:dyDescent="0.2">
      <c r="A14" s="5" t="s">
        <v>157</v>
      </c>
      <c r="B14" s="9">
        <f>IF(1&lt;=3,0,IF(1&lt;=8,'Warehouse Proforma'!$B$7*'Warehouse Proforma'!$B$21,'Warehouse Proforma'!$B$7*'Warehouse Proforma'!$B$22))</f>
        <v>0</v>
      </c>
      <c r="C14" s="9">
        <f>IF(2&lt;=3,0,IF(2&lt;=8,'Warehouse Proforma'!$B$7*'Warehouse Proforma'!$B$21,'Warehouse Proforma'!$B$7*'Warehouse Proforma'!$B$22))</f>
        <v>0</v>
      </c>
      <c r="D14" s="9">
        <f>IF(3&lt;=3,0,IF(3&lt;=8,'Warehouse Proforma'!$B$7*'Warehouse Proforma'!$B$21,'Warehouse Proforma'!$B$7*'Warehouse Proforma'!$B$22))</f>
        <v>0</v>
      </c>
      <c r="E14" s="9">
        <f>IF(4&lt;=3,0,IF(4&lt;=8,'Warehouse Proforma'!$B$7*'Warehouse Proforma'!$B$21,'Warehouse Proforma'!$B$7*'Warehouse Proforma'!$B$22))</f>
        <v>2536.5</v>
      </c>
      <c r="F14" s="9">
        <f>IF(5&lt;=3,0,IF(5&lt;=8,'Warehouse Proforma'!$B$7*'Warehouse Proforma'!$B$21,'Warehouse Proforma'!$B$7*'Warehouse Proforma'!$B$22))</f>
        <v>2536.5</v>
      </c>
      <c r="G14" s="9">
        <f>IF(6&lt;=3,0,IF(6&lt;=8,'Warehouse Proforma'!$B$7*'Warehouse Proforma'!$B$21,'Warehouse Proforma'!$B$7*'Warehouse Proforma'!$B$22))</f>
        <v>2536.5</v>
      </c>
      <c r="H14" s="9">
        <f>IF(7&lt;=3,0,IF(7&lt;=8,'Warehouse Proforma'!$B$7*'Warehouse Proforma'!$B$21,'Warehouse Proforma'!$B$7*'Warehouse Proforma'!$B$22))</f>
        <v>2536.5</v>
      </c>
      <c r="I14" s="9">
        <f>IF(8&lt;=3,0,IF(8&lt;=8,'Warehouse Proforma'!$B$7*'Warehouse Proforma'!$B$21,'Warehouse Proforma'!$B$7*'Warehouse Proforma'!$B$22))</f>
        <v>2536.5</v>
      </c>
      <c r="J14" s="9">
        <f>IF(9&lt;=3,0,IF(9&lt;=8,'Warehouse Proforma'!$B$7*'Warehouse Proforma'!$B$21,'Warehouse Proforma'!$B$7*'Warehouse Proforma'!$B$22))</f>
        <v>5073</v>
      </c>
      <c r="K14" s="9">
        <f>IF(10&lt;=3,0,IF(10&lt;=8,'Warehouse Proforma'!$B$7*'Warehouse Proforma'!$B$21,'Warehouse Proforma'!$B$7*'Warehouse Proforma'!$B$22))</f>
        <v>5073</v>
      </c>
      <c r="L14" s="9">
        <f>IF(11&lt;=3,0,IF(11&lt;=8,'Warehouse Proforma'!$B$7*'Warehouse Proforma'!$B$21,'Warehouse Proforma'!$B$7*'Warehouse Proforma'!$B$22))</f>
        <v>5073</v>
      </c>
      <c r="M14" s="9">
        <f>IF(12&lt;=3,0,IF(12&lt;=8,'Warehouse Proforma'!$B$7*'Warehouse Proforma'!$B$21,'Warehouse Proforma'!$B$7*'Warehouse Proforma'!$B$22))</f>
        <v>5073</v>
      </c>
    </row>
    <row r="15" spans="1:14" ht="15" customHeight="1" x14ac:dyDescent="0.2">
      <c r="A15" s="5" t="s">
        <v>158</v>
      </c>
      <c r="B15" s="9">
        <f>'Warehouse Proforma'!$B$53</f>
        <v>2200</v>
      </c>
      <c r="C15" s="9">
        <f>'Warehouse Proforma'!$B$53</f>
        <v>2200</v>
      </c>
      <c r="D15" s="9">
        <f>'Warehouse Proforma'!$B$53</f>
        <v>2200</v>
      </c>
      <c r="E15" s="9">
        <f>'Warehouse Proforma'!$B$53</f>
        <v>2200</v>
      </c>
      <c r="F15" s="9">
        <f>'Warehouse Proforma'!$B$53</f>
        <v>2200</v>
      </c>
      <c r="G15" s="9">
        <f>'Warehouse Proforma'!$B$53</f>
        <v>2200</v>
      </c>
      <c r="H15" s="9">
        <f>'Warehouse Proforma'!$B$53</f>
        <v>2200</v>
      </c>
      <c r="I15" s="9">
        <f>'Warehouse Proforma'!$B$53</f>
        <v>2200</v>
      </c>
      <c r="J15" s="9">
        <f>'Warehouse Proforma'!$B$53</f>
        <v>2200</v>
      </c>
      <c r="K15" s="9">
        <f>'Warehouse Proforma'!$B$53</f>
        <v>2200</v>
      </c>
      <c r="L15" s="9">
        <f>'Warehouse Proforma'!$B$53</f>
        <v>2200</v>
      </c>
      <c r="M15" s="9">
        <f>'Warehouse Proforma'!$B$53</f>
        <v>2200</v>
      </c>
    </row>
    <row r="16" spans="1:14" ht="15" customHeight="1" x14ac:dyDescent="0.2">
      <c r="A16" s="8" t="s">
        <v>60</v>
      </c>
      <c r="B16" s="12">
        <f t="shared" ref="B16:M16" si="1">B13-B14-B15</f>
        <v>5300</v>
      </c>
      <c r="C16" s="12">
        <f t="shared" si="1"/>
        <v>7487.5</v>
      </c>
      <c r="D16" s="12">
        <f t="shared" si="1"/>
        <v>9675</v>
      </c>
      <c r="E16" s="12">
        <f t="shared" si="1"/>
        <v>9326</v>
      </c>
      <c r="F16" s="12">
        <f t="shared" si="1"/>
        <v>11513.5</v>
      </c>
      <c r="G16" s="12">
        <f t="shared" si="1"/>
        <v>13701</v>
      </c>
      <c r="H16" s="12">
        <f t="shared" si="1"/>
        <v>15888.5</v>
      </c>
      <c r="I16" s="12">
        <f t="shared" si="1"/>
        <v>18076</v>
      </c>
      <c r="J16" s="12">
        <f t="shared" si="1"/>
        <v>17727</v>
      </c>
      <c r="K16" s="12">
        <f t="shared" si="1"/>
        <v>17727</v>
      </c>
      <c r="L16" s="12">
        <f t="shared" si="1"/>
        <v>17727</v>
      </c>
      <c r="M16" s="12">
        <f t="shared" si="1"/>
        <v>17727</v>
      </c>
    </row>
    <row r="17" spans="1:14" ht="15" customHeight="1" x14ac:dyDescent="0.2">
      <c r="A17" s="8" t="s">
        <v>159</v>
      </c>
      <c r="B17" s="12">
        <f>B16</f>
        <v>5300</v>
      </c>
      <c r="C17" s="12">
        <f t="shared" ref="C17:M17" si="2">B17+C16</f>
        <v>12787.5</v>
      </c>
      <c r="D17" s="12">
        <f t="shared" si="2"/>
        <v>22462.5</v>
      </c>
      <c r="E17" s="12">
        <f t="shared" si="2"/>
        <v>31788.5</v>
      </c>
      <c r="F17" s="12">
        <f t="shared" si="2"/>
        <v>43302</v>
      </c>
      <c r="G17" s="12">
        <f t="shared" si="2"/>
        <v>57003</v>
      </c>
      <c r="H17" s="12">
        <f t="shared" si="2"/>
        <v>72891.5</v>
      </c>
      <c r="I17" s="12">
        <f t="shared" si="2"/>
        <v>90967.5</v>
      </c>
      <c r="J17" s="12">
        <f t="shared" si="2"/>
        <v>108694.5</v>
      </c>
      <c r="K17" s="12">
        <f t="shared" si="2"/>
        <v>126421.5</v>
      </c>
      <c r="L17" s="12">
        <f t="shared" si="2"/>
        <v>144148.5</v>
      </c>
      <c r="M17" s="12">
        <f t="shared" si="2"/>
        <v>161875.5</v>
      </c>
    </row>
    <row r="19" spans="1:14" ht="19.5" customHeight="1" x14ac:dyDescent="0.2">
      <c r="A19" s="1" t="s">
        <v>160</v>
      </c>
      <c r="B19" s="1"/>
      <c r="C19" s="1"/>
      <c r="D19" s="1"/>
      <c r="E19" s="1"/>
      <c r="F19" s="1"/>
      <c r="G19" s="1"/>
      <c r="H19" s="1"/>
      <c r="I19" s="1"/>
      <c r="J19" s="1"/>
      <c r="K19" s="1"/>
      <c r="L19" s="1"/>
      <c r="M19" s="1"/>
      <c r="N19" s="1"/>
    </row>
    <row r="20" spans="1:14" ht="15" customHeight="1" x14ac:dyDescent="0.2">
      <c r="A20" s="5" t="s">
        <v>161</v>
      </c>
      <c r="B20" s="12">
        <f>SUM(B13:M13)</f>
        <v>221250</v>
      </c>
    </row>
    <row r="21" spans="1:14" ht="15" customHeight="1" x14ac:dyDescent="0.2">
      <c r="A21" s="5" t="s">
        <v>162</v>
      </c>
      <c r="B21" s="12">
        <f>SUM(B14:M14)</f>
        <v>32974.5</v>
      </c>
    </row>
    <row r="22" spans="1:14" ht="15" customHeight="1" x14ac:dyDescent="0.2">
      <c r="A22" s="5" t="s">
        <v>163</v>
      </c>
      <c r="B22" s="12">
        <f>SUM(B15:M15)</f>
        <v>26400</v>
      </c>
    </row>
    <row r="23" spans="1:14" ht="15" customHeight="1" x14ac:dyDescent="0.2">
      <c r="A23" s="8" t="s">
        <v>164</v>
      </c>
      <c r="B23" s="12">
        <f>SUM(B16:M16)</f>
        <v>161875.5</v>
      </c>
    </row>
    <row r="25" spans="1:14" ht="15" customHeight="1" x14ac:dyDescent="0.2">
      <c r="A25" s="2" t="s">
        <v>165</v>
      </c>
      <c r="B25" s="2"/>
      <c r="C25" s="2"/>
      <c r="D25" s="2"/>
      <c r="E25" s="2"/>
      <c r="F25" s="2"/>
      <c r="G25" s="2"/>
      <c r="H25" s="2"/>
      <c r="I25" s="2"/>
      <c r="J25" s="2"/>
      <c r="K25" s="2"/>
      <c r="L25" s="2"/>
      <c r="M25" s="2"/>
      <c r="N25" s="2"/>
    </row>
  </sheetData>
  <mergeCells count="7">
    <mergeCell ref="A19:N19"/>
    <mergeCell ref="A25:N25"/>
    <mergeCell ref="A1:N1"/>
    <mergeCell ref="A2:N2"/>
    <mergeCell ref="A4:N4"/>
    <mergeCell ref="A6:N6"/>
    <mergeCell ref="A8:N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Warehouse Proforma</vt:lpstr>
      <vt:lpstr>Pricing Analysis</vt:lpstr>
      <vt:lpstr>Monthly 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Cesar Ramirez</cp:lastModifiedBy>
  <cp:revision>0</cp:revision>
  <dcterms:created xsi:type="dcterms:W3CDTF">2026-09-08T18:44:59Z</dcterms:created>
  <dcterms:modified xsi:type="dcterms:W3CDTF">2026-09-18T00:26:33Z</dcterms:modified>
  <dc:language>en-US</dc:language>
</cp:coreProperties>
</file>